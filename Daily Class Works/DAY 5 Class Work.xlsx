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48" windowWidth="22692" windowHeight="9804"/>
  </bookViews>
  <sheets>
    <sheet name="DAY 5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AE57" i="1" l="1"/>
  <c r="AD57" i="1"/>
  <c r="AC57" i="1"/>
  <c r="AB57" i="1"/>
  <c r="AA57" i="1"/>
  <c r="Z57" i="1"/>
  <c r="Y57" i="1"/>
  <c r="X57" i="1"/>
  <c r="W57" i="1"/>
  <c r="V57" i="1"/>
  <c r="U57" i="1"/>
  <c r="T57" i="1"/>
  <c r="T46" i="1"/>
  <c r="U41" i="1"/>
  <c r="T41" i="1"/>
  <c r="X38" i="1"/>
  <c r="X37" i="1"/>
  <c r="X36" i="1"/>
  <c r="T36" i="1"/>
  <c r="X35" i="1"/>
  <c r="X34" i="1"/>
  <c r="X33" i="1"/>
  <c r="X32" i="1"/>
  <c r="T32" i="1"/>
  <c r="X31" i="1"/>
  <c r="X30" i="1"/>
  <c r="X29" i="1"/>
  <c r="X28" i="1"/>
  <c r="X27" i="1"/>
  <c r="X26" i="1"/>
  <c r="U25" i="1"/>
  <c r="X21" i="1"/>
  <c r="T21" i="1"/>
  <c r="AB17" i="1"/>
  <c r="AB16" i="1"/>
  <c r="T16" i="1"/>
  <c r="AB15" i="1"/>
  <c r="AB14" i="1"/>
  <c r="AB13" i="1"/>
  <c r="AB12" i="1"/>
  <c r="AB11" i="1"/>
  <c r="X7" i="1"/>
</calcChain>
</file>

<file path=xl/sharedStrings.xml><?xml version="1.0" encoding="utf-8"?>
<sst xmlns="http://schemas.openxmlformats.org/spreadsheetml/2006/main" count="687" uniqueCount="161">
  <si>
    <t>TASK 1</t>
  </si>
  <si>
    <t>(validation of two cells)</t>
  </si>
  <si>
    <t>Amit</t>
  </si>
  <si>
    <t>ORD-1014</t>
  </si>
  <si>
    <t>Total Sales</t>
  </si>
  <si>
    <t>Order ID</t>
  </si>
  <si>
    <t>Order Date</t>
  </si>
  <si>
    <t>Customer Name</t>
  </si>
  <si>
    <t>Region</t>
  </si>
  <si>
    <t>Category</t>
  </si>
  <si>
    <t>Sub-Category</t>
  </si>
  <si>
    <t>Quantity</t>
  </si>
  <si>
    <t>Unit Price</t>
  </si>
  <si>
    <t>Discount</t>
  </si>
  <si>
    <t>Profit</t>
  </si>
  <si>
    <t>Payment Mode</t>
  </si>
  <si>
    <t>Jan</t>
  </si>
  <si>
    <t>Feb</t>
  </si>
  <si>
    <t>Mar</t>
  </si>
  <si>
    <t>Apr</t>
  </si>
  <si>
    <t>Total sale</t>
  </si>
  <si>
    <t>ORD-1000</t>
  </si>
  <si>
    <t>Karan</t>
  </si>
  <si>
    <t>South</t>
  </si>
  <si>
    <t>Office Supplies</t>
  </si>
  <si>
    <t>Pens</t>
  </si>
  <si>
    <t>UPI</t>
  </si>
  <si>
    <t>ORD-1001</t>
  </si>
  <si>
    <t>Vikram</t>
  </si>
  <si>
    <t>East</t>
  </si>
  <si>
    <t>Technology</t>
  </si>
  <si>
    <t>Laptops</t>
  </si>
  <si>
    <t>Cash</t>
  </si>
  <si>
    <t>Sneha</t>
  </si>
  <si>
    <t>ORD-1002</t>
  </si>
  <si>
    <t>Furniture</t>
  </si>
  <si>
    <t>Bookcases</t>
  </si>
  <si>
    <t>INDEXING Function</t>
  </si>
  <si>
    <t>Priya</t>
  </si>
  <si>
    <t>ORD-1003</t>
  </si>
  <si>
    <t>Simran</t>
  </si>
  <si>
    <t>Paper</t>
  </si>
  <si>
    <t>Net Banking</t>
  </si>
  <si>
    <t>Raj</t>
  </si>
  <si>
    <t>ORD-1004</t>
  </si>
  <si>
    <t>serial no</t>
  </si>
  <si>
    <t>value</t>
  </si>
  <si>
    <t>ORD-1005</t>
  </si>
  <si>
    <t>Credit Card</t>
  </si>
  <si>
    <t>ORD-1006</t>
  </si>
  <si>
    <t>ORD-1007</t>
  </si>
  <si>
    <t>West</t>
  </si>
  <si>
    <t>Binders</t>
  </si>
  <si>
    <t>ORD-1008</t>
  </si>
  <si>
    <t>North</t>
  </si>
  <si>
    <t>ORD-1009</t>
  </si>
  <si>
    <t>Printers</t>
  </si>
  <si>
    <t>Month</t>
  </si>
  <si>
    <t>ORD-1010</t>
  </si>
  <si>
    <t>ORD-1011</t>
  </si>
  <si>
    <t>Mobiles</t>
  </si>
  <si>
    <t>ORD-1012</t>
  </si>
  <si>
    <t>ORD-1013</t>
  </si>
  <si>
    <t>Pooja</t>
  </si>
  <si>
    <t>Tables</t>
  </si>
  <si>
    <t>RowNo</t>
  </si>
  <si>
    <t>Col No.</t>
  </si>
  <si>
    <t>Value</t>
  </si>
  <si>
    <t>Task 2</t>
  </si>
  <si>
    <t>ORD-1015</t>
  </si>
  <si>
    <t>Chairs</t>
  </si>
  <si>
    <t>ORD-1016</t>
  </si>
  <si>
    <t>ORD-1017</t>
  </si>
  <si>
    <t>ORD-1018</t>
  </si>
  <si>
    <t>Neha</t>
  </si>
  <si>
    <t>MATCH Function</t>
  </si>
  <si>
    <t>ORD-1019</t>
  </si>
  <si>
    <t>ORD-1020</t>
  </si>
  <si>
    <t>Position</t>
  </si>
  <si>
    <t>ORD-1021</t>
  </si>
  <si>
    <t>ORD-1022</t>
  </si>
  <si>
    <t>ORD-1023</t>
  </si>
  <si>
    <t>ORD-1024</t>
  </si>
  <si>
    <t>position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</si>
  <si>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</si>
  <si>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</si>
  <si>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</si>
  <si>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</si>
  <si>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</si>
  <si>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</si>
  <si>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</si>
  <si>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</si>
  <si>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</si>
  <si>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</si>
  <si>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</si>
  <si>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</si>
  <si>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</si>
  <si>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</si>
  <si>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</si>
  <si>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</si>
  <si>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</si>
  <si>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</si>
  <si>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</si>
  <si>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</si>
  <si>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</si>
  <si>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</si>
  <si>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</si>
  <si>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</si>
  <si>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Ravi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</si>
  <si>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</si>
  <si>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</si>
  <si>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</si>
  <si>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</si>
  <si>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</si>
  <si>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</si>
  <si>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</si>
  <si>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</si>
  <si>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</si>
  <si>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</si>
  <si>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</si>
  <si>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</si>
  <si>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</si>
  <si>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</si>
  <si>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</si>
  <si>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</si>
  <si>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</si>
  <si>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</si>
  <si>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</si>
  <si>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</si>
  <si>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</si>
  <si>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</si>
  <si>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</si>
  <si>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</si>
  <si>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</si>
  <si>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</si>
  <si>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</si>
  <si>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</si>
  <si>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</si>
  <si>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</si>
  <si>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</si>
  <si>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</si>
  <si>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</si>
  <si>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</si>
  <si>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</si>
  <si>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</si>
  <si>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</si>
  <si>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</si>
  <si>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</si>
  <si>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</si>
  <si>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</si>
  <si>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</si>
  <si>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</si>
  <si>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</si>
  <si>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</si>
  <si>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</si>
  <si>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</si>
  <si>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</si>
  <si>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</si>
  <si>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</si>
  <si>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</si>
  <si>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INDEXING &amp; MATCH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</si>
</sst>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u/>
      <sz val="28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NumberFormat="1" applyBorder="1" applyAlignment="1">
      <alignment horizontal="center"/>
    </xf>
    <xf numFmtId="0" fontId="4" fillId="2" borderId="0" xfId="0" applyFont="1" applyFill="1"/>
    <xf numFmtId="0" fontId="4" fillId="2" borderId="0" xfId="0" applyFont="1" applyFill="1" applyBorder="1" applyAlignment="1">
      <alignment horizontal="left"/>
    </xf>
    <xf numFmtId="0" fontId="3" fillId="0" borderId="0" xfId="0" applyFont="1"/>
    <xf numFmtId="0" fontId="3" fillId="0" borderId="1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3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AE110"/>
  <sheetViews>
    <sheetView tabSelected="1" topLeftCell="C1" zoomScale="70" zoomScaleNormal="70" workbookViewId="0">
      <selection activeCell="L6" sqref="L6"/>
    </sheetView>
  </sheetViews>
  <sheetFormatPr defaultRowHeight="14.4" x14ac:dyDescent="0.3"/>
  <cols>
    <col min="5" max="5" width="9.6640625" bestFit="1" customWidth="1"/>
    <col min="6" max="6" width="11.88671875" bestFit="1" customWidth="1"/>
    <col min="7" max="7" width="16.88671875" bestFit="1" customWidth="1"/>
    <col min="8" max="8" width="8.21875" bestFit="1" customWidth="1"/>
    <col min="9" max="9" width="14.21875" bestFit="1" customWidth="1"/>
    <col min="10" max="10" width="14.88671875" bestFit="1" customWidth="1"/>
    <col min="11" max="11" width="9.6640625" bestFit="1" customWidth="1"/>
    <col min="12" max="12" width="11.109375" bestFit="1" customWidth="1"/>
    <col min="13" max="13" width="10" bestFit="1" customWidth="1"/>
    <col min="14" max="14" width="12.33203125" bestFit="1" customWidth="1"/>
    <col min="15" max="15" width="8" customWidth="1"/>
    <col min="16" max="16" width="15.77734375" bestFit="1" customWidth="1"/>
    <col min="17" max="17" width="10" bestFit="1" customWidth="1"/>
    <col min="19" max="19" width="12" customWidth="1"/>
    <col min="20" max="20" width="14.88671875" customWidth="1"/>
    <col min="21" max="21" width="14.44140625" customWidth="1"/>
    <col min="22" max="22" width="6.5546875" customWidth="1"/>
    <col min="23" max="23" width="16.44140625" customWidth="1"/>
    <col min="24" max="24" width="18.33203125" customWidth="1"/>
    <col min="25" max="27" width="10.33203125" customWidth="1"/>
    <col min="28" max="28" width="10.33203125" bestFit="1" customWidth="1"/>
    <col min="29" max="29" width="10.33203125" customWidth="1"/>
    <col min="30" max="30" width="13.77734375" bestFit="1" customWidth="1"/>
    <col min="31" max="31" width="10.33203125" customWidth="1"/>
  </cols>
  <sheetData>
    <row r="1" spans="5:28" x14ac:dyDescent="0.3">
      <c r="E1" s="15" t="s">
        <v>160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 spans="5:28" x14ac:dyDescent="0.3"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</row>
    <row r="3" spans="5:28" ht="15.6" x14ac:dyDescent="0.3">
      <c r="W3" s="11" t="s">
        <v>0</v>
      </c>
      <c r="X3" s="1"/>
      <c r="Y3" s="1"/>
      <c r="Z3" s="1"/>
      <c r="AA3" s="1"/>
      <c r="AB3" s="1"/>
    </row>
    <row r="4" spans="5:28" x14ac:dyDescent="0.3">
      <c r="W4" s="1" t="s">
        <v>1</v>
      </c>
      <c r="X4" s="1"/>
      <c r="Y4" s="1"/>
      <c r="Z4" s="1"/>
      <c r="AA4" s="1"/>
      <c r="AB4" s="1"/>
    </row>
    <row r="5" spans="5:28" x14ac:dyDescent="0.3">
      <c r="W5" s="2" t="s">
        <v>2</v>
      </c>
      <c r="X5" s="2"/>
      <c r="Y5" s="1"/>
      <c r="Z5" s="1"/>
      <c r="AA5" s="1"/>
      <c r="AB5" s="1"/>
    </row>
    <row r="6" spans="5:28" x14ac:dyDescent="0.3">
      <c r="W6" s="2" t="s">
        <v>3</v>
      </c>
      <c r="X6" s="2"/>
      <c r="Y6" s="1"/>
      <c r="Z6" s="1"/>
      <c r="AA6" s="1"/>
      <c r="AB6" s="1"/>
    </row>
    <row r="7" spans="5:28" x14ac:dyDescent="0.3">
      <c r="W7" s="2" t="s">
        <v>4</v>
      </c>
      <c r="X7" s="2">
        <f>INDEX(E10:Q110,MATCH(W6,E10:E110,0),MATCH(W7,E10:Q10,0))</f>
        <v>473.46</v>
      </c>
      <c r="Y7" s="1"/>
      <c r="Z7" s="1"/>
      <c r="AA7" s="1"/>
      <c r="AB7" s="1"/>
    </row>
    <row r="8" spans="5:28" x14ac:dyDescent="0.3">
      <c r="W8" s="1"/>
      <c r="X8" s="1"/>
      <c r="Y8" s="1"/>
      <c r="Z8" s="1"/>
      <c r="AA8" s="1"/>
      <c r="AB8" s="1"/>
    </row>
    <row r="9" spans="5:28" x14ac:dyDescent="0.3">
      <c r="W9" s="1"/>
      <c r="X9" s="1"/>
      <c r="Y9" s="1"/>
      <c r="Z9" s="1"/>
      <c r="AA9" s="1"/>
      <c r="AB9" s="1"/>
    </row>
    <row r="10" spans="5:28" x14ac:dyDescent="0.3">
      <c r="E10" s="14" t="s">
        <v>5</v>
      </c>
      <c r="F10" s="14" t="s">
        <v>6</v>
      </c>
      <c r="G10" s="14" t="s">
        <v>7</v>
      </c>
      <c r="H10" s="14" t="s">
        <v>8</v>
      </c>
      <c r="I10" s="14" t="s">
        <v>9</v>
      </c>
      <c r="J10" s="14" t="s">
        <v>10</v>
      </c>
      <c r="K10" s="14" t="s">
        <v>11</v>
      </c>
      <c r="L10" s="14" t="s">
        <v>12</v>
      </c>
      <c r="M10" s="14" t="s">
        <v>13</v>
      </c>
      <c r="N10" s="14" t="s">
        <v>4</v>
      </c>
      <c r="O10" s="14" t="s">
        <v>14</v>
      </c>
      <c r="P10" s="14" t="s">
        <v>15</v>
      </c>
      <c r="Q10" s="14" t="s">
        <v>13</v>
      </c>
      <c r="W10" s="3" t="s">
        <v>7</v>
      </c>
      <c r="X10" s="3" t="s">
        <v>16</v>
      </c>
      <c r="Y10" s="3" t="s">
        <v>17</v>
      </c>
      <c r="Z10" s="3" t="s">
        <v>18</v>
      </c>
      <c r="AA10" s="3" t="s">
        <v>19</v>
      </c>
      <c r="AB10" s="3" t="s">
        <v>20</v>
      </c>
    </row>
    <row r="11" spans="5:28" x14ac:dyDescent="0.3">
      <c r="E11" s="4" t="s">
        <v>21</v>
      </c>
      <c r="F11" s="5">
        <v>45029</v>
      </c>
      <c r="G11" s="4" t="s">
        <v>22</v>
      </c>
      <c r="H11" s="4" t="s">
        <v>23</v>
      </c>
      <c r="I11" s="4" t="s">
        <v>24</v>
      </c>
      <c r="J11" s="4" t="s">
        <v>25</v>
      </c>
      <c r="K11" s="4">
        <v>3</v>
      </c>
      <c r="L11" s="4">
        <v>1443.03</v>
      </c>
      <c r="M11" s="4">
        <v>0.1</v>
      </c>
      <c r="N11" s="4">
        <v>3896.18</v>
      </c>
      <c r="O11" s="4">
        <v>964.48</v>
      </c>
      <c r="P11" s="4" t="s">
        <v>26</v>
      </c>
      <c r="Q11" s="4">
        <v>0</v>
      </c>
      <c r="W11" s="3" t="s">
        <v>22</v>
      </c>
      <c r="X11" s="3">
        <v>123</v>
      </c>
      <c r="Y11" s="3">
        <v>897</v>
      </c>
      <c r="Z11" s="3">
        <v>234</v>
      </c>
      <c r="AA11" s="3">
        <v>456</v>
      </c>
      <c r="AB11" s="2">
        <f>SUM(X11:AA11)</f>
        <v>1710</v>
      </c>
    </row>
    <row r="12" spans="5:28" x14ac:dyDescent="0.3">
      <c r="E12" s="4" t="s">
        <v>27</v>
      </c>
      <c r="F12" s="5">
        <v>45275</v>
      </c>
      <c r="G12" s="4" t="s">
        <v>28</v>
      </c>
      <c r="H12" s="4" t="s">
        <v>29</v>
      </c>
      <c r="I12" s="4" t="s">
        <v>30</v>
      </c>
      <c r="J12" s="4" t="s">
        <v>31</v>
      </c>
      <c r="K12" s="4">
        <v>7</v>
      </c>
      <c r="L12" s="4">
        <v>1715.07</v>
      </c>
      <c r="M12" s="4">
        <v>0.15</v>
      </c>
      <c r="N12" s="4">
        <v>10204.69</v>
      </c>
      <c r="O12" s="4">
        <v>1354.41</v>
      </c>
      <c r="P12" s="4" t="s">
        <v>32</v>
      </c>
      <c r="Q12" s="4">
        <v>0</v>
      </c>
      <c r="W12" s="3" t="s">
        <v>33</v>
      </c>
      <c r="X12" s="3">
        <v>245</v>
      </c>
      <c r="Y12" s="3">
        <v>567</v>
      </c>
      <c r="Z12" s="3">
        <v>678</v>
      </c>
      <c r="AA12" s="3">
        <v>895</v>
      </c>
      <c r="AB12" s="2">
        <f t="shared" ref="AB12:AB17" si="0">SUM(X12:AA12)</f>
        <v>2385</v>
      </c>
    </row>
    <row r="13" spans="5:28" x14ac:dyDescent="0.3">
      <c r="E13" s="4" t="s">
        <v>34</v>
      </c>
      <c r="F13" s="5">
        <v>45197</v>
      </c>
      <c r="G13" s="4" t="s">
        <v>22</v>
      </c>
      <c r="H13" s="4" t="s">
        <v>29</v>
      </c>
      <c r="I13" s="4" t="s">
        <v>35</v>
      </c>
      <c r="J13" s="4" t="s">
        <v>36</v>
      </c>
      <c r="K13" s="4">
        <v>8</v>
      </c>
      <c r="L13" s="4">
        <v>621.97</v>
      </c>
      <c r="M13" s="4">
        <v>0.1</v>
      </c>
      <c r="N13" s="4">
        <v>4478.1899999999996</v>
      </c>
      <c r="O13" s="4">
        <v>752.58</v>
      </c>
      <c r="P13" s="4" t="s">
        <v>32</v>
      </c>
      <c r="Q13" s="4">
        <v>0</v>
      </c>
      <c r="S13" s="13" t="s">
        <v>37</v>
      </c>
      <c r="W13" s="3" t="s">
        <v>38</v>
      </c>
      <c r="X13" s="3">
        <v>678</v>
      </c>
      <c r="Y13" s="3">
        <v>456</v>
      </c>
      <c r="Z13" s="3">
        <v>90</v>
      </c>
      <c r="AA13" s="3">
        <v>55</v>
      </c>
      <c r="AB13" s="2">
        <f t="shared" si="0"/>
        <v>1279</v>
      </c>
    </row>
    <row r="14" spans="5:28" x14ac:dyDescent="0.3">
      <c r="E14" s="4" t="s">
        <v>39</v>
      </c>
      <c r="F14" s="5">
        <v>45033</v>
      </c>
      <c r="G14" s="4" t="s">
        <v>40</v>
      </c>
      <c r="H14" s="4" t="s">
        <v>23</v>
      </c>
      <c r="I14" s="4" t="s">
        <v>24</v>
      </c>
      <c r="J14" s="4" t="s">
        <v>41</v>
      </c>
      <c r="K14" s="4">
        <v>5</v>
      </c>
      <c r="L14" s="4">
        <v>1166.43</v>
      </c>
      <c r="M14" s="4">
        <v>0.1</v>
      </c>
      <c r="N14" s="4">
        <v>5248.92</v>
      </c>
      <c r="O14" s="4">
        <v>948.39</v>
      </c>
      <c r="P14" s="4" t="s">
        <v>42</v>
      </c>
      <c r="Q14" s="4">
        <v>0</v>
      </c>
      <c r="W14" s="3" t="s">
        <v>43</v>
      </c>
      <c r="X14" s="3">
        <v>355</v>
      </c>
      <c r="Y14" s="3">
        <v>456</v>
      </c>
      <c r="Z14" s="3">
        <v>456</v>
      </c>
      <c r="AA14" s="3">
        <v>890</v>
      </c>
      <c r="AB14" s="2">
        <f t="shared" si="0"/>
        <v>2157</v>
      </c>
    </row>
    <row r="15" spans="5:28" x14ac:dyDescent="0.3">
      <c r="E15" s="4" t="s">
        <v>44</v>
      </c>
      <c r="F15" s="5">
        <v>44998</v>
      </c>
      <c r="G15" s="4" t="s">
        <v>22</v>
      </c>
      <c r="H15" s="4" t="s">
        <v>29</v>
      </c>
      <c r="I15" s="4" t="s">
        <v>35</v>
      </c>
      <c r="J15" s="4" t="s">
        <v>36</v>
      </c>
      <c r="K15" s="4">
        <v>7</v>
      </c>
      <c r="L15" s="4">
        <v>1003.2</v>
      </c>
      <c r="M15" s="4">
        <v>0.2</v>
      </c>
      <c r="N15" s="4">
        <v>5617.94</v>
      </c>
      <c r="O15" s="4">
        <v>995.18</v>
      </c>
      <c r="P15" s="4" t="s">
        <v>26</v>
      </c>
      <c r="Q15" s="4">
        <v>0</v>
      </c>
      <c r="S15" s="4" t="s">
        <v>45</v>
      </c>
      <c r="T15" s="4" t="s">
        <v>46</v>
      </c>
      <c r="W15" s="3" t="s">
        <v>22</v>
      </c>
      <c r="X15" s="3">
        <v>890</v>
      </c>
      <c r="Y15" s="3">
        <v>234</v>
      </c>
      <c r="Z15" s="3">
        <v>245</v>
      </c>
      <c r="AA15" s="3">
        <v>453</v>
      </c>
      <c r="AB15" s="2">
        <f t="shared" si="0"/>
        <v>1822</v>
      </c>
    </row>
    <row r="16" spans="5:28" x14ac:dyDescent="0.3">
      <c r="E16" s="4" t="s">
        <v>47</v>
      </c>
      <c r="F16" s="5">
        <v>45115</v>
      </c>
      <c r="G16" s="4" t="s">
        <v>33</v>
      </c>
      <c r="H16" s="4" t="s">
        <v>23</v>
      </c>
      <c r="I16" s="4" t="s">
        <v>35</v>
      </c>
      <c r="J16" s="4" t="s">
        <v>36</v>
      </c>
      <c r="K16" s="4">
        <v>4</v>
      </c>
      <c r="L16" s="4">
        <v>1891.42</v>
      </c>
      <c r="M16" s="4">
        <v>0.1</v>
      </c>
      <c r="N16" s="4">
        <v>6809.12</v>
      </c>
      <c r="O16" s="4">
        <v>1523.17</v>
      </c>
      <c r="P16" s="4" t="s">
        <v>48</v>
      </c>
      <c r="Q16" s="4">
        <v>0</v>
      </c>
      <c r="S16" s="6">
        <v>22</v>
      </c>
      <c r="T16" s="4" t="str">
        <f>INDEX(E10:E110,S16)</f>
        <v>ORD-1020</v>
      </c>
      <c r="W16" s="3" t="s">
        <v>2</v>
      </c>
      <c r="X16" s="3">
        <v>179</v>
      </c>
      <c r="Y16" s="3">
        <v>768</v>
      </c>
      <c r="Z16" s="3">
        <v>567</v>
      </c>
      <c r="AA16" s="3">
        <v>789</v>
      </c>
      <c r="AB16" s="2">
        <f t="shared" si="0"/>
        <v>2303</v>
      </c>
    </row>
    <row r="17" spans="5:28" x14ac:dyDescent="0.3">
      <c r="E17" s="4" t="s">
        <v>49</v>
      </c>
      <c r="F17" s="5">
        <v>44947</v>
      </c>
      <c r="G17" s="4" t="s">
        <v>38</v>
      </c>
      <c r="H17" s="4" t="s">
        <v>23</v>
      </c>
      <c r="I17" s="4" t="s">
        <v>30</v>
      </c>
      <c r="J17" s="4" t="s">
        <v>31</v>
      </c>
      <c r="K17" s="4">
        <v>5</v>
      </c>
      <c r="L17" s="4">
        <v>1755.78</v>
      </c>
      <c r="M17" s="4">
        <v>0.15</v>
      </c>
      <c r="N17" s="4">
        <v>7462.04</v>
      </c>
      <c r="O17" s="4">
        <v>780.61</v>
      </c>
      <c r="P17" s="4" t="s">
        <v>32</v>
      </c>
      <c r="Q17" s="4">
        <v>0</v>
      </c>
      <c r="W17" s="3" t="s">
        <v>2</v>
      </c>
      <c r="X17" s="3">
        <v>934</v>
      </c>
      <c r="Y17" s="3">
        <v>456</v>
      </c>
      <c r="Z17" s="3">
        <v>768</v>
      </c>
      <c r="AA17" s="3">
        <v>345</v>
      </c>
      <c r="AB17" s="2">
        <f t="shared" si="0"/>
        <v>2503</v>
      </c>
    </row>
    <row r="18" spans="5:28" x14ac:dyDescent="0.3">
      <c r="E18" s="4" t="s">
        <v>50</v>
      </c>
      <c r="F18" s="5">
        <v>45029</v>
      </c>
      <c r="G18" s="4" t="s">
        <v>43</v>
      </c>
      <c r="H18" s="4" t="s">
        <v>51</v>
      </c>
      <c r="I18" s="4" t="s">
        <v>24</v>
      </c>
      <c r="J18" s="4" t="s">
        <v>52</v>
      </c>
      <c r="K18" s="4">
        <v>7</v>
      </c>
      <c r="L18" s="4">
        <v>1802.57</v>
      </c>
      <c r="M18" s="4">
        <v>0</v>
      </c>
      <c r="N18" s="4">
        <v>12618.01</v>
      </c>
      <c r="O18" s="4">
        <v>1489.34</v>
      </c>
      <c r="P18" s="4" t="s">
        <v>48</v>
      </c>
      <c r="Q18" s="4">
        <v>0</v>
      </c>
      <c r="W18" s="1"/>
      <c r="X18" s="1"/>
      <c r="Y18" s="1"/>
      <c r="Z18" s="1"/>
      <c r="AA18" s="1"/>
      <c r="AB18" s="1"/>
    </row>
    <row r="19" spans="5:28" x14ac:dyDescent="0.3">
      <c r="E19" s="4" t="s">
        <v>53</v>
      </c>
      <c r="F19" s="5">
        <v>45048</v>
      </c>
      <c r="G19" s="4" t="s">
        <v>22</v>
      </c>
      <c r="H19" s="4" t="s">
        <v>54</v>
      </c>
      <c r="I19" s="4" t="s">
        <v>35</v>
      </c>
      <c r="J19" s="4" t="s">
        <v>36</v>
      </c>
      <c r="K19" s="4">
        <v>7</v>
      </c>
      <c r="L19" s="4">
        <v>412.85</v>
      </c>
      <c r="M19" s="4">
        <v>0.1</v>
      </c>
      <c r="N19" s="4">
        <v>2600.9299999999998</v>
      </c>
      <c r="O19" s="4">
        <v>401.46</v>
      </c>
      <c r="P19" s="4" t="s">
        <v>26</v>
      </c>
      <c r="Q19" s="4">
        <v>0</v>
      </c>
      <c r="W19" s="7" t="s">
        <v>7</v>
      </c>
      <c r="X19" s="7" t="s">
        <v>38</v>
      </c>
      <c r="Y19" s="1"/>
      <c r="Z19" s="1"/>
      <c r="AA19" s="1"/>
      <c r="AB19" s="1"/>
    </row>
    <row r="20" spans="5:28" x14ac:dyDescent="0.3">
      <c r="E20" s="4" t="s">
        <v>55</v>
      </c>
      <c r="F20" s="5">
        <v>45141</v>
      </c>
      <c r="G20" s="4" t="s">
        <v>2</v>
      </c>
      <c r="H20" s="4" t="s">
        <v>23</v>
      </c>
      <c r="I20" s="4" t="s">
        <v>30</v>
      </c>
      <c r="J20" s="4" t="s">
        <v>56</v>
      </c>
      <c r="K20" s="4">
        <v>6</v>
      </c>
      <c r="L20" s="4">
        <v>515.65</v>
      </c>
      <c r="M20" s="4">
        <v>0</v>
      </c>
      <c r="N20" s="4">
        <v>3093.91</v>
      </c>
      <c r="O20" s="4">
        <v>467.05</v>
      </c>
      <c r="P20" s="4" t="s">
        <v>42</v>
      </c>
      <c r="Q20" s="4">
        <v>0</v>
      </c>
      <c r="S20" s="4" t="s">
        <v>45</v>
      </c>
      <c r="T20" s="4" t="s">
        <v>46</v>
      </c>
      <c r="W20" s="7" t="s">
        <v>57</v>
      </c>
      <c r="X20" s="7" t="s">
        <v>17</v>
      </c>
      <c r="Y20" s="1"/>
      <c r="Z20" s="1"/>
      <c r="AA20" s="1"/>
      <c r="AB20" s="1"/>
    </row>
    <row r="21" spans="5:28" x14ac:dyDescent="0.3">
      <c r="E21" s="4" t="s">
        <v>58</v>
      </c>
      <c r="F21" s="5">
        <v>45257</v>
      </c>
      <c r="G21" s="4" t="s">
        <v>2</v>
      </c>
      <c r="H21" s="4" t="s">
        <v>29</v>
      </c>
      <c r="I21" s="4" t="s">
        <v>30</v>
      </c>
      <c r="J21" s="4" t="s">
        <v>56</v>
      </c>
      <c r="K21" s="4">
        <v>2</v>
      </c>
      <c r="L21" s="4">
        <v>1453.31</v>
      </c>
      <c r="M21" s="4">
        <v>0.2</v>
      </c>
      <c r="N21" s="4">
        <v>2325.3000000000002</v>
      </c>
      <c r="O21" s="4">
        <v>281.85000000000002</v>
      </c>
      <c r="P21" s="4" t="s">
        <v>48</v>
      </c>
      <c r="Q21" s="4">
        <v>0</v>
      </c>
      <c r="S21" s="6">
        <v>6</v>
      </c>
      <c r="T21" s="4" t="str">
        <f>INDEX(E10:Q10,,S21)</f>
        <v>Sub-Category</v>
      </c>
      <c r="W21" s="7" t="s">
        <v>20</v>
      </c>
      <c r="X21" s="7">
        <f>INDEX(X10:AA17,MATCH(X19,W11:W17,0),MATCH(X20,X10:AA10,0))</f>
        <v>567</v>
      </c>
      <c r="Y21" s="1"/>
      <c r="Z21" s="1"/>
      <c r="AA21" s="1"/>
      <c r="AB21" s="1"/>
    </row>
    <row r="22" spans="5:28" x14ac:dyDescent="0.3">
      <c r="E22" s="4" t="s">
        <v>59</v>
      </c>
      <c r="F22" s="5">
        <v>45014</v>
      </c>
      <c r="G22" s="4" t="s">
        <v>33</v>
      </c>
      <c r="H22" s="4" t="s">
        <v>54</v>
      </c>
      <c r="I22" s="4" t="s">
        <v>30</v>
      </c>
      <c r="J22" s="4" t="s">
        <v>60</v>
      </c>
      <c r="K22" s="4">
        <v>6</v>
      </c>
      <c r="L22" s="4">
        <v>162.80000000000001</v>
      </c>
      <c r="M22" s="4">
        <v>0</v>
      </c>
      <c r="N22" s="4">
        <v>976.78</v>
      </c>
      <c r="O22" s="4">
        <v>203.74</v>
      </c>
      <c r="P22" s="4" t="s">
        <v>42</v>
      </c>
      <c r="Q22" s="4">
        <v>0</v>
      </c>
    </row>
    <row r="23" spans="5:28" x14ac:dyDescent="0.3">
      <c r="E23" s="4" t="s">
        <v>61</v>
      </c>
      <c r="F23" s="5">
        <v>45026</v>
      </c>
      <c r="G23" s="4" t="s">
        <v>2</v>
      </c>
      <c r="H23" s="4" t="s">
        <v>29</v>
      </c>
      <c r="I23" s="4" t="s">
        <v>30</v>
      </c>
      <c r="J23" s="4" t="s">
        <v>60</v>
      </c>
      <c r="K23" s="4">
        <v>7</v>
      </c>
      <c r="L23" s="4">
        <v>1377.06</v>
      </c>
      <c r="M23" s="4">
        <v>0.1</v>
      </c>
      <c r="N23" s="4">
        <v>8675.4599999999991</v>
      </c>
      <c r="O23" s="4">
        <v>1235.5</v>
      </c>
      <c r="P23" s="4" t="s">
        <v>32</v>
      </c>
      <c r="Q23" s="4">
        <v>0</v>
      </c>
    </row>
    <row r="24" spans="5:28" ht="15.6" x14ac:dyDescent="0.3">
      <c r="E24" s="4" t="s">
        <v>62</v>
      </c>
      <c r="F24" s="5">
        <v>45286</v>
      </c>
      <c r="G24" s="4" t="s">
        <v>63</v>
      </c>
      <c r="H24" s="4" t="s">
        <v>51</v>
      </c>
      <c r="I24" s="4" t="s">
        <v>35</v>
      </c>
      <c r="J24" s="4" t="s">
        <v>64</v>
      </c>
      <c r="K24" s="4">
        <v>6</v>
      </c>
      <c r="L24" s="4">
        <v>857.77</v>
      </c>
      <c r="M24" s="4">
        <v>0</v>
      </c>
      <c r="N24" s="4">
        <v>5146.6000000000004</v>
      </c>
      <c r="O24" s="4">
        <v>451.25</v>
      </c>
      <c r="P24" s="4" t="s">
        <v>48</v>
      </c>
      <c r="Q24" s="4">
        <v>0</v>
      </c>
      <c r="S24" s="4" t="s">
        <v>65</v>
      </c>
      <c r="T24" s="4" t="s">
        <v>66</v>
      </c>
      <c r="U24" s="4" t="s">
        <v>67</v>
      </c>
      <c r="W24" s="12" t="s">
        <v>68</v>
      </c>
    </row>
    <row r="25" spans="5:28" ht="18" x14ac:dyDescent="0.35">
      <c r="E25" s="4" t="s">
        <v>3</v>
      </c>
      <c r="F25" s="5">
        <v>45078</v>
      </c>
      <c r="G25" s="4" t="s">
        <v>38</v>
      </c>
      <c r="H25" s="4" t="s">
        <v>51</v>
      </c>
      <c r="I25" s="4" t="s">
        <v>24</v>
      </c>
      <c r="J25" s="4" t="s">
        <v>25</v>
      </c>
      <c r="K25" s="4">
        <v>4</v>
      </c>
      <c r="L25" s="4">
        <v>131.52000000000001</v>
      </c>
      <c r="M25" s="4">
        <v>0.1</v>
      </c>
      <c r="N25" s="4">
        <v>473.46</v>
      </c>
      <c r="O25" s="4">
        <v>119.49</v>
      </c>
      <c r="P25" s="4" t="s">
        <v>26</v>
      </c>
      <c r="Q25" s="4">
        <v>0</v>
      </c>
      <c r="S25" s="6">
        <v>5</v>
      </c>
      <c r="T25" s="6">
        <v>8</v>
      </c>
      <c r="U25" s="4">
        <f>INDEX(E10:Q110,S25,T25)</f>
        <v>1166.43</v>
      </c>
      <c r="W25" s="8" t="s">
        <v>5</v>
      </c>
      <c r="X25" s="8" t="s">
        <v>7</v>
      </c>
    </row>
    <row r="26" spans="5:28" x14ac:dyDescent="0.3">
      <c r="E26" s="4" t="s">
        <v>69</v>
      </c>
      <c r="F26" s="5">
        <v>45057</v>
      </c>
      <c r="G26" s="4" t="s">
        <v>43</v>
      </c>
      <c r="H26" s="4" t="s">
        <v>54</v>
      </c>
      <c r="I26" s="4" t="s">
        <v>35</v>
      </c>
      <c r="J26" s="4" t="s">
        <v>70</v>
      </c>
      <c r="K26" s="4">
        <v>8</v>
      </c>
      <c r="L26" s="4">
        <v>834.8</v>
      </c>
      <c r="M26" s="4">
        <v>0.05</v>
      </c>
      <c r="N26" s="4">
        <v>6344.46</v>
      </c>
      <c r="O26" s="4">
        <v>1645.93</v>
      </c>
      <c r="P26" s="4" t="s">
        <v>32</v>
      </c>
      <c r="Q26" s="4">
        <v>0</v>
      </c>
      <c r="W26" s="4" t="s">
        <v>21</v>
      </c>
      <c r="X26" s="4" t="str">
        <f>INDEX(E10:H110,2,3)</f>
        <v>Karan</v>
      </c>
    </row>
    <row r="27" spans="5:28" x14ac:dyDescent="0.3">
      <c r="E27" s="4" t="s">
        <v>71</v>
      </c>
      <c r="F27" s="5">
        <v>45076</v>
      </c>
      <c r="G27" s="4" t="s">
        <v>38</v>
      </c>
      <c r="H27" s="4" t="s">
        <v>51</v>
      </c>
      <c r="I27" s="4" t="s">
        <v>24</v>
      </c>
      <c r="J27" s="4" t="s">
        <v>25</v>
      </c>
      <c r="K27" s="4">
        <v>3</v>
      </c>
      <c r="L27" s="4">
        <v>534.25</v>
      </c>
      <c r="M27" s="4">
        <v>0.05</v>
      </c>
      <c r="N27" s="4">
        <v>1522.6</v>
      </c>
      <c r="O27" s="4">
        <v>449.99</v>
      </c>
      <c r="P27" s="4" t="s">
        <v>48</v>
      </c>
      <c r="Q27" s="4">
        <v>0</v>
      </c>
      <c r="W27" s="4" t="s">
        <v>27</v>
      </c>
      <c r="X27" s="4" t="str">
        <f t="shared" ref="X27:X38" si="1">INDEX(E11:H111,2,3)</f>
        <v>Vikram</v>
      </c>
    </row>
    <row r="28" spans="5:28" x14ac:dyDescent="0.3">
      <c r="E28" s="4" t="s">
        <v>72</v>
      </c>
      <c r="F28" s="5">
        <v>45235</v>
      </c>
      <c r="G28" s="4" t="s">
        <v>43</v>
      </c>
      <c r="H28" s="4" t="s">
        <v>29</v>
      </c>
      <c r="I28" s="4" t="s">
        <v>30</v>
      </c>
      <c r="J28" s="4" t="s">
        <v>31</v>
      </c>
      <c r="K28" s="4">
        <v>5</v>
      </c>
      <c r="L28" s="4">
        <v>1810.79</v>
      </c>
      <c r="M28" s="4">
        <v>0.1</v>
      </c>
      <c r="N28" s="4">
        <v>8148.57</v>
      </c>
      <c r="O28" s="4">
        <v>791.85</v>
      </c>
      <c r="P28" s="4" t="s">
        <v>26</v>
      </c>
      <c r="Q28" s="4">
        <v>0</v>
      </c>
      <c r="W28" s="4" t="s">
        <v>34</v>
      </c>
      <c r="X28" s="4" t="str">
        <f t="shared" si="1"/>
        <v>Karan</v>
      </c>
    </row>
    <row r="29" spans="5:28" x14ac:dyDescent="0.3">
      <c r="E29" s="4" t="s">
        <v>73</v>
      </c>
      <c r="F29" s="5">
        <v>45184</v>
      </c>
      <c r="G29" s="4" t="s">
        <v>74</v>
      </c>
      <c r="H29" s="4" t="s">
        <v>51</v>
      </c>
      <c r="I29" s="4" t="s">
        <v>24</v>
      </c>
      <c r="J29" s="4" t="s">
        <v>52</v>
      </c>
      <c r="K29" s="4">
        <v>8</v>
      </c>
      <c r="L29" s="4">
        <v>1786.76</v>
      </c>
      <c r="M29" s="4">
        <v>0.15</v>
      </c>
      <c r="N29" s="4">
        <v>12149.99</v>
      </c>
      <c r="O29" s="4">
        <v>863.07</v>
      </c>
      <c r="P29" s="4" t="s">
        <v>32</v>
      </c>
      <c r="Q29" s="4">
        <v>0</v>
      </c>
      <c r="S29" s="16" t="s">
        <v>75</v>
      </c>
      <c r="T29" s="16"/>
      <c r="W29" s="4" t="s">
        <v>39</v>
      </c>
      <c r="X29" s="4" t="str">
        <f t="shared" si="1"/>
        <v>Simran</v>
      </c>
    </row>
    <row r="30" spans="5:28" x14ac:dyDescent="0.3">
      <c r="E30" s="4" t="s">
        <v>76</v>
      </c>
      <c r="F30" s="5">
        <v>45270</v>
      </c>
      <c r="G30" s="4" t="s">
        <v>33</v>
      </c>
      <c r="H30" s="4" t="s">
        <v>23</v>
      </c>
      <c r="I30" s="4" t="s">
        <v>30</v>
      </c>
      <c r="J30" s="4" t="s">
        <v>56</v>
      </c>
      <c r="K30" s="4">
        <v>9</v>
      </c>
      <c r="L30" s="4">
        <v>1360.65</v>
      </c>
      <c r="M30" s="4">
        <v>0.2</v>
      </c>
      <c r="N30" s="4">
        <v>9796.7000000000007</v>
      </c>
      <c r="O30" s="4">
        <v>1185.21</v>
      </c>
      <c r="P30" s="4" t="s">
        <v>32</v>
      </c>
      <c r="Q30" s="4">
        <v>0</v>
      </c>
      <c r="W30" s="4" t="s">
        <v>44</v>
      </c>
      <c r="X30" s="4" t="str">
        <f t="shared" si="1"/>
        <v>Karan</v>
      </c>
    </row>
    <row r="31" spans="5:28" x14ac:dyDescent="0.3">
      <c r="E31" s="4" t="s">
        <v>77</v>
      </c>
      <c r="F31" s="5">
        <v>45220</v>
      </c>
      <c r="G31" s="4" t="s">
        <v>22</v>
      </c>
      <c r="H31" s="4" t="s">
        <v>51</v>
      </c>
      <c r="I31" s="4" t="s">
        <v>24</v>
      </c>
      <c r="J31" s="4" t="s">
        <v>41</v>
      </c>
      <c r="K31" s="4">
        <v>9</v>
      </c>
      <c r="L31" s="4">
        <v>434.26</v>
      </c>
      <c r="M31" s="4">
        <v>0.15</v>
      </c>
      <c r="N31" s="4">
        <v>3322.07</v>
      </c>
      <c r="O31" s="4">
        <v>363.14</v>
      </c>
      <c r="P31" s="4" t="s">
        <v>42</v>
      </c>
      <c r="Q31" s="4">
        <v>0</v>
      </c>
      <c r="S31" s="4" t="s">
        <v>46</v>
      </c>
      <c r="T31" s="4" t="s">
        <v>78</v>
      </c>
      <c r="W31" s="4" t="s">
        <v>47</v>
      </c>
      <c r="X31" s="4" t="str">
        <f t="shared" si="1"/>
        <v>Sneha</v>
      </c>
    </row>
    <row r="32" spans="5:28" x14ac:dyDescent="0.3">
      <c r="E32" s="4" t="s">
        <v>79</v>
      </c>
      <c r="F32" s="5">
        <v>45118</v>
      </c>
      <c r="G32" s="4" t="s">
        <v>63</v>
      </c>
      <c r="H32" s="4" t="s">
        <v>29</v>
      </c>
      <c r="I32" s="4" t="s">
        <v>24</v>
      </c>
      <c r="J32" s="4" t="s">
        <v>25</v>
      </c>
      <c r="K32" s="4">
        <v>1</v>
      </c>
      <c r="L32" s="4">
        <v>685.32</v>
      </c>
      <c r="M32" s="4">
        <v>0.15</v>
      </c>
      <c r="N32" s="4">
        <v>582.52</v>
      </c>
      <c r="O32" s="4">
        <v>103.22</v>
      </c>
      <c r="P32" s="4" t="s">
        <v>32</v>
      </c>
      <c r="Q32" s="4">
        <v>0</v>
      </c>
      <c r="S32" s="4" t="s">
        <v>12</v>
      </c>
      <c r="T32" s="4">
        <f>MATCH(S32,E10:Q10,0)</f>
        <v>8</v>
      </c>
      <c r="W32" s="4" t="s">
        <v>49</v>
      </c>
      <c r="X32" s="4" t="str">
        <f t="shared" si="1"/>
        <v>Priya</v>
      </c>
    </row>
    <row r="33" spans="5:24" x14ac:dyDescent="0.3">
      <c r="E33" s="4" t="s">
        <v>80</v>
      </c>
      <c r="F33" s="5">
        <v>45203</v>
      </c>
      <c r="G33" s="4" t="s">
        <v>33</v>
      </c>
      <c r="H33" s="4" t="s">
        <v>54</v>
      </c>
      <c r="I33" s="4" t="s">
        <v>30</v>
      </c>
      <c r="J33" s="4" t="s">
        <v>60</v>
      </c>
      <c r="K33" s="4">
        <v>6</v>
      </c>
      <c r="L33" s="4">
        <v>1959.9</v>
      </c>
      <c r="M33" s="4">
        <v>0.1</v>
      </c>
      <c r="N33" s="4">
        <v>10583.44</v>
      </c>
      <c r="O33" s="4">
        <v>2889.4</v>
      </c>
      <c r="P33" s="4" t="s">
        <v>32</v>
      </c>
      <c r="Q33" s="4">
        <v>0</v>
      </c>
      <c r="W33" s="4" t="s">
        <v>50</v>
      </c>
      <c r="X33" s="4" t="str">
        <f t="shared" si="1"/>
        <v>Raj</v>
      </c>
    </row>
    <row r="34" spans="5:24" x14ac:dyDescent="0.3">
      <c r="E34" s="4" t="s">
        <v>81</v>
      </c>
      <c r="F34" s="5">
        <v>45087</v>
      </c>
      <c r="G34" s="4" t="s">
        <v>38</v>
      </c>
      <c r="H34" s="4" t="s">
        <v>29</v>
      </c>
      <c r="I34" s="4" t="s">
        <v>35</v>
      </c>
      <c r="J34" s="4" t="s">
        <v>36</v>
      </c>
      <c r="K34" s="4">
        <v>1</v>
      </c>
      <c r="L34" s="4">
        <v>470.96</v>
      </c>
      <c r="M34" s="4">
        <v>0.2</v>
      </c>
      <c r="N34" s="4">
        <v>376.77</v>
      </c>
      <c r="O34" s="4">
        <v>65.86</v>
      </c>
      <c r="P34" s="4" t="s">
        <v>42</v>
      </c>
      <c r="Q34" s="4">
        <v>37.677</v>
      </c>
      <c r="W34" s="4" t="s">
        <v>53</v>
      </c>
      <c r="X34" s="4" t="str">
        <f t="shared" si="1"/>
        <v>Karan</v>
      </c>
    </row>
    <row r="35" spans="5:24" x14ac:dyDescent="0.3">
      <c r="E35" s="4" t="s">
        <v>82</v>
      </c>
      <c r="F35" s="5">
        <v>45240</v>
      </c>
      <c r="G35" s="4" t="s">
        <v>74</v>
      </c>
      <c r="H35" s="4" t="s">
        <v>54</v>
      </c>
      <c r="I35" s="4" t="s">
        <v>35</v>
      </c>
      <c r="J35" s="4" t="s">
        <v>70</v>
      </c>
      <c r="K35" s="4">
        <v>5</v>
      </c>
      <c r="L35" s="4">
        <v>1778.64</v>
      </c>
      <c r="M35" s="4">
        <v>0.15</v>
      </c>
      <c r="N35" s="4">
        <v>7559.21</v>
      </c>
      <c r="O35" s="4">
        <v>407.17</v>
      </c>
      <c r="P35" s="4" t="s">
        <v>48</v>
      </c>
      <c r="Q35" s="4">
        <v>0</v>
      </c>
      <c r="S35" s="4" t="s">
        <v>46</v>
      </c>
      <c r="T35" s="4" t="s">
        <v>83</v>
      </c>
      <c r="W35" s="4" t="s">
        <v>55</v>
      </c>
      <c r="X35" s="4" t="str">
        <f t="shared" si="1"/>
        <v>Amit</v>
      </c>
    </row>
    <row r="36" spans="5:24" x14ac:dyDescent="0.3">
      <c r="E36" s="4" t="s">
        <v>84</v>
      </c>
      <c r="F36" s="5">
        <v>44948</v>
      </c>
      <c r="G36" s="4" t="s">
        <v>22</v>
      </c>
      <c r="H36" s="4" t="s">
        <v>51</v>
      </c>
      <c r="I36" s="4" t="s">
        <v>30</v>
      </c>
      <c r="J36" s="4" t="s">
        <v>31</v>
      </c>
      <c r="K36" s="4">
        <v>3</v>
      </c>
      <c r="L36" s="4">
        <v>1962.63</v>
      </c>
      <c r="M36" s="4">
        <v>0.15</v>
      </c>
      <c r="N36" s="4">
        <v>5004.71</v>
      </c>
      <c r="O36" s="4">
        <v>618.64</v>
      </c>
      <c r="P36" s="4" t="s">
        <v>26</v>
      </c>
      <c r="Q36" s="4">
        <v>0</v>
      </c>
      <c r="S36" s="4" t="s">
        <v>49</v>
      </c>
      <c r="T36" s="4">
        <f>MATCH(S36,E12:E110,0)</f>
        <v>6</v>
      </c>
      <c r="W36" s="4" t="s">
        <v>58</v>
      </c>
      <c r="X36" s="4" t="str">
        <f t="shared" si="1"/>
        <v>Amit</v>
      </c>
    </row>
    <row r="37" spans="5:24" x14ac:dyDescent="0.3">
      <c r="E37" s="4" t="s">
        <v>85</v>
      </c>
      <c r="F37" s="5">
        <v>45179</v>
      </c>
      <c r="G37" s="4" t="s">
        <v>74</v>
      </c>
      <c r="H37" s="4" t="s">
        <v>23</v>
      </c>
      <c r="I37" s="4" t="s">
        <v>35</v>
      </c>
      <c r="J37" s="4" t="s">
        <v>36</v>
      </c>
      <c r="K37" s="4">
        <v>2</v>
      </c>
      <c r="L37" s="4">
        <v>1157.92</v>
      </c>
      <c r="M37" s="4">
        <v>0.05</v>
      </c>
      <c r="N37" s="4">
        <v>2200.0500000000002</v>
      </c>
      <c r="O37" s="4">
        <v>621.52</v>
      </c>
      <c r="P37" s="4" t="s">
        <v>42</v>
      </c>
      <c r="Q37" s="4">
        <v>0</v>
      </c>
      <c r="W37" s="4" t="s">
        <v>59</v>
      </c>
      <c r="X37" s="4" t="str">
        <f t="shared" si="1"/>
        <v>Sneha</v>
      </c>
    </row>
    <row r="38" spans="5:24" x14ac:dyDescent="0.3">
      <c r="E38" s="4" t="s">
        <v>86</v>
      </c>
      <c r="F38" s="5">
        <v>45162</v>
      </c>
      <c r="G38" s="4" t="s">
        <v>40</v>
      </c>
      <c r="H38" s="4" t="s">
        <v>54</v>
      </c>
      <c r="I38" s="4" t="s">
        <v>24</v>
      </c>
      <c r="J38" s="4" t="s">
        <v>52</v>
      </c>
      <c r="K38" s="4">
        <v>7</v>
      </c>
      <c r="L38" s="4">
        <v>366.16</v>
      </c>
      <c r="M38" s="4">
        <v>0.1</v>
      </c>
      <c r="N38" s="4">
        <v>2306.81</v>
      </c>
      <c r="O38" s="4">
        <v>285.63</v>
      </c>
      <c r="P38" s="4" t="s">
        <v>42</v>
      </c>
      <c r="Q38" s="4">
        <v>0</v>
      </c>
      <c r="W38" s="4" t="s">
        <v>61</v>
      </c>
      <c r="X38" s="4" t="str">
        <f t="shared" si="1"/>
        <v>Amit</v>
      </c>
    </row>
    <row r="39" spans="5:24" x14ac:dyDescent="0.3">
      <c r="E39" s="4" t="s">
        <v>87</v>
      </c>
      <c r="F39" s="5">
        <v>45271</v>
      </c>
      <c r="G39" s="4" t="s">
        <v>40</v>
      </c>
      <c r="H39" s="4" t="s">
        <v>29</v>
      </c>
      <c r="I39" s="4" t="s">
        <v>35</v>
      </c>
      <c r="J39" s="4" t="s">
        <v>70</v>
      </c>
      <c r="K39" s="4">
        <v>6</v>
      </c>
      <c r="L39" s="4">
        <v>783.03</v>
      </c>
      <c r="M39" s="4">
        <v>0.2</v>
      </c>
      <c r="N39" s="4">
        <v>3758.56</v>
      </c>
      <c r="O39" s="4">
        <v>466.54</v>
      </c>
      <c r="P39" s="4" t="s">
        <v>32</v>
      </c>
      <c r="Q39" s="4">
        <v>0</v>
      </c>
    </row>
    <row r="40" spans="5:24" x14ac:dyDescent="0.3">
      <c r="E40" s="4" t="s">
        <v>88</v>
      </c>
      <c r="F40" s="5">
        <v>44975</v>
      </c>
      <c r="G40" s="4" t="s">
        <v>74</v>
      </c>
      <c r="H40" s="4" t="s">
        <v>51</v>
      </c>
      <c r="I40" s="4" t="s">
        <v>35</v>
      </c>
      <c r="J40" s="4" t="s">
        <v>70</v>
      </c>
      <c r="K40" s="4">
        <v>7</v>
      </c>
      <c r="L40" s="4">
        <v>1052.8800000000001</v>
      </c>
      <c r="M40" s="4">
        <v>0.2</v>
      </c>
      <c r="N40" s="4">
        <v>5896.13</v>
      </c>
      <c r="O40" s="4">
        <v>581.16999999999996</v>
      </c>
      <c r="P40" s="4" t="s">
        <v>32</v>
      </c>
      <c r="Q40" s="4">
        <v>0</v>
      </c>
      <c r="S40" s="4" t="s">
        <v>6</v>
      </c>
      <c r="T40" s="4" t="s">
        <v>4</v>
      </c>
      <c r="U40" s="4" t="s">
        <v>5</v>
      </c>
    </row>
    <row r="41" spans="5:24" x14ac:dyDescent="0.3">
      <c r="E41" s="4" t="s">
        <v>89</v>
      </c>
      <c r="F41" s="5">
        <v>44985</v>
      </c>
      <c r="G41" s="4" t="s">
        <v>28</v>
      </c>
      <c r="H41" s="4" t="s">
        <v>29</v>
      </c>
      <c r="I41" s="4" t="s">
        <v>30</v>
      </c>
      <c r="J41" s="4" t="s">
        <v>56</v>
      </c>
      <c r="K41" s="4">
        <v>7</v>
      </c>
      <c r="L41" s="4">
        <v>152.47</v>
      </c>
      <c r="M41" s="4">
        <v>0.05</v>
      </c>
      <c r="N41" s="4">
        <v>1013.94</v>
      </c>
      <c r="O41" s="4">
        <v>74.52</v>
      </c>
      <c r="P41" s="4" t="s">
        <v>32</v>
      </c>
      <c r="Q41" s="4">
        <v>0</v>
      </c>
      <c r="S41" s="5">
        <v>45141</v>
      </c>
      <c r="T41" s="4">
        <f>INDEX(N10:N110,MATCH(S41,F10:F110,0))</f>
        <v>3093.91</v>
      </c>
      <c r="U41" s="4" t="str">
        <f>INDEX(E10:E110,MATCH(S41,F10:F110,0))</f>
        <v>ORD-1009</v>
      </c>
    </row>
    <row r="42" spans="5:24" x14ac:dyDescent="0.3">
      <c r="E42" s="4" t="s">
        <v>90</v>
      </c>
      <c r="F42" s="5">
        <v>45096</v>
      </c>
      <c r="G42" s="4" t="s">
        <v>63</v>
      </c>
      <c r="H42" s="4" t="s">
        <v>29</v>
      </c>
      <c r="I42" s="4" t="s">
        <v>24</v>
      </c>
      <c r="J42" s="4" t="s">
        <v>41</v>
      </c>
      <c r="K42" s="4">
        <v>6</v>
      </c>
      <c r="L42" s="4">
        <v>1222.58</v>
      </c>
      <c r="M42" s="4">
        <v>0</v>
      </c>
      <c r="N42" s="4">
        <v>7335.5</v>
      </c>
      <c r="O42" s="4">
        <v>435.27</v>
      </c>
      <c r="P42" s="4" t="s">
        <v>32</v>
      </c>
      <c r="Q42" s="4">
        <v>0</v>
      </c>
    </row>
    <row r="43" spans="5:24" x14ac:dyDescent="0.3">
      <c r="E43" s="4" t="s">
        <v>91</v>
      </c>
      <c r="F43" s="5">
        <v>45114</v>
      </c>
      <c r="G43" s="4" t="s">
        <v>22</v>
      </c>
      <c r="H43" s="4" t="s">
        <v>29</v>
      </c>
      <c r="I43" s="4" t="s">
        <v>24</v>
      </c>
      <c r="J43" s="4" t="s">
        <v>41</v>
      </c>
      <c r="K43" s="4">
        <v>1</v>
      </c>
      <c r="L43" s="4">
        <v>1672.95</v>
      </c>
      <c r="M43" s="4">
        <v>0.15</v>
      </c>
      <c r="N43" s="4">
        <v>1422.01</v>
      </c>
      <c r="O43" s="4">
        <v>147.83000000000001</v>
      </c>
      <c r="P43" s="4" t="s">
        <v>42</v>
      </c>
      <c r="Q43" s="4">
        <v>142.20099999999999</v>
      </c>
    </row>
    <row r="44" spans="5:24" x14ac:dyDescent="0.3">
      <c r="E44" s="4" t="s">
        <v>92</v>
      </c>
      <c r="F44" s="5">
        <v>45197</v>
      </c>
      <c r="G44" s="4" t="s">
        <v>38</v>
      </c>
      <c r="H44" s="4" t="s">
        <v>51</v>
      </c>
      <c r="I44" s="4" t="s">
        <v>30</v>
      </c>
      <c r="J44" s="4" t="s">
        <v>31</v>
      </c>
      <c r="K44" s="4">
        <v>4</v>
      </c>
      <c r="L44" s="4">
        <v>881.57</v>
      </c>
      <c r="M44" s="4">
        <v>0.1</v>
      </c>
      <c r="N44" s="4">
        <v>3173.66</v>
      </c>
      <c r="O44" s="4">
        <v>664.43</v>
      </c>
      <c r="P44" s="4" t="s">
        <v>48</v>
      </c>
      <c r="Q44" s="4">
        <v>0</v>
      </c>
    </row>
    <row r="45" spans="5:24" x14ac:dyDescent="0.3">
      <c r="E45" s="4" t="s">
        <v>93</v>
      </c>
      <c r="F45" s="5">
        <v>45116</v>
      </c>
      <c r="G45" s="4" t="s">
        <v>28</v>
      </c>
      <c r="H45" s="4" t="s">
        <v>23</v>
      </c>
      <c r="I45" s="4" t="s">
        <v>30</v>
      </c>
      <c r="J45" s="4" t="s">
        <v>60</v>
      </c>
      <c r="K45" s="4">
        <v>3</v>
      </c>
      <c r="L45" s="4">
        <v>1610.85</v>
      </c>
      <c r="M45" s="4">
        <v>0.1</v>
      </c>
      <c r="N45" s="4">
        <v>4349.3100000000004</v>
      </c>
      <c r="O45" s="4">
        <v>694.77</v>
      </c>
      <c r="P45" s="4" t="s">
        <v>48</v>
      </c>
      <c r="Q45" s="4">
        <v>0</v>
      </c>
      <c r="S45" s="4" t="s">
        <v>6</v>
      </c>
      <c r="T45" s="4" t="s">
        <v>4</v>
      </c>
    </row>
    <row r="46" spans="5:24" x14ac:dyDescent="0.3">
      <c r="E46" s="4" t="s">
        <v>94</v>
      </c>
      <c r="F46" s="5">
        <v>45101</v>
      </c>
      <c r="G46" s="4" t="s">
        <v>40</v>
      </c>
      <c r="H46" s="4" t="s">
        <v>23</v>
      </c>
      <c r="I46" s="4" t="s">
        <v>30</v>
      </c>
      <c r="J46" s="4" t="s">
        <v>31</v>
      </c>
      <c r="K46" s="4">
        <v>7</v>
      </c>
      <c r="L46" s="4">
        <v>913.8</v>
      </c>
      <c r="M46" s="4">
        <v>0.15</v>
      </c>
      <c r="N46" s="4">
        <v>5437.1</v>
      </c>
      <c r="O46" s="4">
        <v>827.73</v>
      </c>
      <c r="P46" s="4" t="s">
        <v>48</v>
      </c>
      <c r="Q46" s="4">
        <v>0</v>
      </c>
      <c r="S46" s="5">
        <v>44948</v>
      </c>
      <c r="T46" s="9">
        <f>INDEX(E10:Q110,MATCH(S46,F10:F110,0),MATCH(T45,E10:Q10,0))</f>
        <v>5004.71</v>
      </c>
    </row>
    <row r="47" spans="5:24" x14ac:dyDescent="0.3">
      <c r="E47" s="4" t="s">
        <v>95</v>
      </c>
      <c r="F47" s="5">
        <v>44977</v>
      </c>
      <c r="G47" s="4" t="s">
        <v>28</v>
      </c>
      <c r="H47" s="4" t="s">
        <v>51</v>
      </c>
      <c r="I47" s="4" t="s">
        <v>24</v>
      </c>
      <c r="J47" s="4" t="s">
        <v>52</v>
      </c>
      <c r="K47" s="4">
        <v>6</v>
      </c>
      <c r="L47" s="4">
        <v>1457.73</v>
      </c>
      <c r="M47" s="4">
        <v>0.2</v>
      </c>
      <c r="N47" s="4">
        <v>6997.11</v>
      </c>
      <c r="O47" s="4">
        <v>839.54</v>
      </c>
      <c r="P47" s="4" t="s">
        <v>26</v>
      </c>
      <c r="Q47" s="4">
        <v>0</v>
      </c>
    </row>
    <row r="48" spans="5:24" x14ac:dyDescent="0.3">
      <c r="E48" s="4" t="s">
        <v>96</v>
      </c>
      <c r="F48" s="5">
        <v>45290</v>
      </c>
      <c r="G48" s="4" t="s">
        <v>22</v>
      </c>
      <c r="H48" s="4" t="s">
        <v>23</v>
      </c>
      <c r="I48" s="4" t="s">
        <v>35</v>
      </c>
      <c r="J48" s="4" t="s">
        <v>64</v>
      </c>
      <c r="K48" s="4">
        <v>7</v>
      </c>
      <c r="L48" s="4">
        <v>190.66</v>
      </c>
      <c r="M48" s="4">
        <v>0.05</v>
      </c>
      <c r="N48" s="4">
        <v>1267.8900000000001</v>
      </c>
      <c r="O48" s="4">
        <v>176.23</v>
      </c>
      <c r="P48" s="4" t="s">
        <v>48</v>
      </c>
      <c r="Q48" s="4">
        <v>0</v>
      </c>
    </row>
    <row r="49" spans="5:31" x14ac:dyDescent="0.3">
      <c r="E49" s="4" t="s">
        <v>97</v>
      </c>
      <c r="F49" s="5">
        <v>44981</v>
      </c>
      <c r="G49" s="4" t="s">
        <v>40</v>
      </c>
      <c r="H49" s="4" t="s">
        <v>23</v>
      </c>
      <c r="I49" s="4" t="s">
        <v>35</v>
      </c>
      <c r="J49" s="4" t="s">
        <v>64</v>
      </c>
      <c r="K49" s="4">
        <v>5</v>
      </c>
      <c r="L49" s="4">
        <v>278.89999999999998</v>
      </c>
      <c r="M49" s="4">
        <v>0.15</v>
      </c>
      <c r="N49" s="4">
        <v>1185.32</v>
      </c>
      <c r="O49" s="4">
        <v>111.22</v>
      </c>
      <c r="P49" s="4" t="s">
        <v>42</v>
      </c>
      <c r="Q49" s="4">
        <v>0</v>
      </c>
    </row>
    <row r="50" spans="5:31" x14ac:dyDescent="0.3">
      <c r="E50" s="4" t="s">
        <v>98</v>
      </c>
      <c r="F50" s="5">
        <v>45170</v>
      </c>
      <c r="G50" s="4" t="s">
        <v>40</v>
      </c>
      <c r="H50" s="4" t="s">
        <v>23</v>
      </c>
      <c r="I50" s="4" t="s">
        <v>35</v>
      </c>
      <c r="J50" s="4" t="s">
        <v>36</v>
      </c>
      <c r="K50" s="4">
        <v>4</v>
      </c>
      <c r="L50" s="4">
        <v>429.08</v>
      </c>
      <c r="M50" s="4">
        <v>0.2</v>
      </c>
      <c r="N50" s="4">
        <v>1373.07</v>
      </c>
      <c r="O50" s="4">
        <v>205.45</v>
      </c>
      <c r="P50" s="4" t="s">
        <v>48</v>
      </c>
      <c r="Q50" s="4">
        <v>0</v>
      </c>
    </row>
    <row r="51" spans="5:31" x14ac:dyDescent="0.3">
      <c r="E51" s="4" t="s">
        <v>99</v>
      </c>
      <c r="F51" s="5">
        <v>45246</v>
      </c>
      <c r="G51" s="4" t="s">
        <v>38</v>
      </c>
      <c r="H51" s="4" t="s">
        <v>51</v>
      </c>
      <c r="I51" s="4" t="s">
        <v>30</v>
      </c>
      <c r="J51" s="4" t="s">
        <v>56</v>
      </c>
      <c r="K51" s="4">
        <v>3</v>
      </c>
      <c r="L51" s="4">
        <v>1055.96</v>
      </c>
      <c r="M51" s="4">
        <v>0</v>
      </c>
      <c r="N51" s="4">
        <v>3167.88</v>
      </c>
      <c r="O51" s="4">
        <v>585.55999999999995</v>
      </c>
      <c r="P51" s="4" t="s">
        <v>42</v>
      </c>
      <c r="Q51" s="4">
        <v>0</v>
      </c>
    </row>
    <row r="52" spans="5:31" x14ac:dyDescent="0.3">
      <c r="E52" s="4" t="s">
        <v>100</v>
      </c>
      <c r="F52" s="5">
        <v>45057</v>
      </c>
      <c r="G52" s="4" t="s">
        <v>33</v>
      </c>
      <c r="H52" s="4" t="s">
        <v>29</v>
      </c>
      <c r="I52" s="4" t="s">
        <v>24</v>
      </c>
      <c r="J52" s="4" t="s">
        <v>52</v>
      </c>
      <c r="K52" s="4">
        <v>1</v>
      </c>
      <c r="L52" s="4">
        <v>1747.68</v>
      </c>
      <c r="M52" s="4">
        <v>0.1</v>
      </c>
      <c r="N52" s="4">
        <v>1572.91</v>
      </c>
      <c r="O52" s="4">
        <v>393.6</v>
      </c>
      <c r="P52" s="4" t="s">
        <v>42</v>
      </c>
      <c r="Q52" s="4">
        <v>157.291</v>
      </c>
    </row>
    <row r="53" spans="5:31" x14ac:dyDescent="0.3">
      <c r="E53" s="4" t="s">
        <v>101</v>
      </c>
      <c r="F53" s="5">
        <v>45233</v>
      </c>
      <c r="G53" s="4" t="s">
        <v>2</v>
      </c>
      <c r="H53" s="4" t="s">
        <v>51</v>
      </c>
      <c r="I53" s="4" t="s">
        <v>35</v>
      </c>
      <c r="J53" s="4" t="s">
        <v>70</v>
      </c>
      <c r="K53" s="4">
        <v>3</v>
      </c>
      <c r="L53" s="4">
        <v>1659.22</v>
      </c>
      <c r="M53" s="4">
        <v>0.15</v>
      </c>
      <c r="N53" s="4">
        <v>4231</v>
      </c>
      <c r="O53" s="4">
        <v>619.95000000000005</v>
      </c>
      <c r="P53" s="4" t="s">
        <v>32</v>
      </c>
      <c r="Q53" s="4">
        <v>0</v>
      </c>
    </row>
    <row r="54" spans="5:31" x14ac:dyDescent="0.3">
      <c r="E54" s="4" t="s">
        <v>102</v>
      </c>
      <c r="F54" s="5">
        <v>45061</v>
      </c>
      <c r="G54" s="4" t="s">
        <v>2</v>
      </c>
      <c r="H54" s="4" t="s">
        <v>23</v>
      </c>
      <c r="I54" s="4" t="s">
        <v>24</v>
      </c>
      <c r="J54" s="4" t="s">
        <v>41</v>
      </c>
      <c r="K54" s="4">
        <v>2</v>
      </c>
      <c r="L54" s="4">
        <v>174.03</v>
      </c>
      <c r="M54" s="4">
        <v>0.05</v>
      </c>
      <c r="N54" s="4">
        <v>330.66</v>
      </c>
      <c r="O54" s="4">
        <v>72.989999999999995</v>
      </c>
      <c r="P54" s="4" t="s">
        <v>42</v>
      </c>
      <c r="Q54" s="4">
        <v>0</v>
      </c>
    </row>
    <row r="55" spans="5:31" x14ac:dyDescent="0.3">
      <c r="E55" s="4" t="s">
        <v>103</v>
      </c>
      <c r="F55" s="5">
        <v>44947</v>
      </c>
      <c r="G55" s="4" t="s">
        <v>33</v>
      </c>
      <c r="H55" s="4" t="s">
        <v>54</v>
      </c>
      <c r="I55" s="4" t="s">
        <v>35</v>
      </c>
      <c r="J55" s="4" t="s">
        <v>64</v>
      </c>
      <c r="K55" s="4">
        <v>2</v>
      </c>
      <c r="L55" s="4">
        <v>595.32000000000005</v>
      </c>
      <c r="M55" s="4">
        <v>0.15</v>
      </c>
      <c r="N55" s="4">
        <v>1012.04</v>
      </c>
      <c r="O55" s="4">
        <v>225.91</v>
      </c>
      <c r="P55" s="4" t="s">
        <v>26</v>
      </c>
      <c r="Q55" s="4">
        <v>0</v>
      </c>
    </row>
    <row r="56" spans="5:31" x14ac:dyDescent="0.3">
      <c r="E56" s="4" t="s">
        <v>104</v>
      </c>
      <c r="F56" s="5">
        <v>45255</v>
      </c>
      <c r="G56" s="4" t="s">
        <v>43</v>
      </c>
      <c r="H56" s="4" t="s">
        <v>51</v>
      </c>
      <c r="I56" s="4" t="s">
        <v>35</v>
      </c>
      <c r="J56" s="4" t="s">
        <v>70</v>
      </c>
      <c r="K56" s="4">
        <v>5</v>
      </c>
      <c r="L56" s="4">
        <v>1938.4</v>
      </c>
      <c r="M56" s="4">
        <v>0.15</v>
      </c>
      <c r="N56" s="4">
        <v>8238.2099999999991</v>
      </c>
      <c r="O56" s="4">
        <v>777.36</v>
      </c>
      <c r="P56" s="4" t="s">
        <v>42</v>
      </c>
      <c r="Q56" s="4">
        <v>0</v>
      </c>
      <c r="S56" s="4" t="s">
        <v>5</v>
      </c>
      <c r="T56" s="4" t="s">
        <v>6</v>
      </c>
      <c r="U56" s="4" t="s">
        <v>7</v>
      </c>
      <c r="V56" s="4" t="s">
        <v>8</v>
      </c>
      <c r="W56" s="4" t="s">
        <v>9</v>
      </c>
      <c r="X56" s="6" t="s">
        <v>10</v>
      </c>
      <c r="Y56" s="6" t="s">
        <v>11</v>
      </c>
      <c r="Z56" s="6" t="s">
        <v>12</v>
      </c>
      <c r="AA56" s="6" t="s">
        <v>13</v>
      </c>
      <c r="AB56" s="6" t="s">
        <v>4</v>
      </c>
      <c r="AC56" s="6" t="s">
        <v>14</v>
      </c>
      <c r="AD56" s="6" t="s">
        <v>15</v>
      </c>
      <c r="AE56" s="6" t="s">
        <v>13</v>
      </c>
    </row>
    <row r="57" spans="5:31" x14ac:dyDescent="0.3">
      <c r="E57" s="4" t="s">
        <v>105</v>
      </c>
      <c r="F57" s="5">
        <v>45093</v>
      </c>
      <c r="G57" s="4" t="s">
        <v>74</v>
      </c>
      <c r="H57" s="4" t="s">
        <v>29</v>
      </c>
      <c r="I57" s="4" t="s">
        <v>24</v>
      </c>
      <c r="J57" s="4" t="s">
        <v>41</v>
      </c>
      <c r="K57" s="4">
        <v>3</v>
      </c>
      <c r="L57" s="4">
        <v>883.97</v>
      </c>
      <c r="M57" s="4">
        <v>0.05</v>
      </c>
      <c r="N57" s="4">
        <v>2519.3200000000002</v>
      </c>
      <c r="O57" s="4">
        <v>283.43</v>
      </c>
      <c r="P57" s="4" t="s">
        <v>32</v>
      </c>
      <c r="Q57" s="4">
        <v>0</v>
      </c>
      <c r="S57" s="4" t="s">
        <v>87</v>
      </c>
      <c r="T57" s="5">
        <f>INDEX($E$10:$Q$110,MATCH($S$57,$E$11:$E$110,0),MATCH(T56,$E$10:$Q$10,0))</f>
        <v>45162</v>
      </c>
      <c r="U57" s="5" t="str">
        <f t="shared" ref="U57:AE57" si="2">INDEX($E$10:$Q$110,MATCH($S$57,$E$11:$E$110,0),MATCH(U56,$E$10:$Q$10,0))</f>
        <v>Simran</v>
      </c>
      <c r="V57" s="5" t="str">
        <f t="shared" si="2"/>
        <v>North</v>
      </c>
      <c r="W57" s="5" t="str">
        <f t="shared" si="2"/>
        <v>Office Supplies</v>
      </c>
      <c r="X57" s="5" t="str">
        <f t="shared" si="2"/>
        <v>Binders</v>
      </c>
      <c r="Y57" s="10">
        <f t="shared" si="2"/>
        <v>7</v>
      </c>
      <c r="Z57" s="10">
        <f t="shared" si="2"/>
        <v>366.16</v>
      </c>
      <c r="AA57" s="10">
        <f t="shared" si="2"/>
        <v>0.1</v>
      </c>
      <c r="AB57" s="10">
        <f t="shared" si="2"/>
        <v>2306.81</v>
      </c>
      <c r="AC57" s="10">
        <f t="shared" si="2"/>
        <v>285.63</v>
      </c>
      <c r="AD57" s="10" t="str">
        <f t="shared" si="2"/>
        <v>Net Banking</v>
      </c>
      <c r="AE57" s="10">
        <f t="shared" si="2"/>
        <v>0.1</v>
      </c>
    </row>
    <row r="58" spans="5:31" x14ac:dyDescent="0.3">
      <c r="E58" s="4" t="s">
        <v>106</v>
      </c>
      <c r="F58" s="5">
        <v>45200</v>
      </c>
      <c r="G58" s="4" t="s">
        <v>2</v>
      </c>
      <c r="H58" s="4" t="s">
        <v>54</v>
      </c>
      <c r="I58" s="4" t="s">
        <v>35</v>
      </c>
      <c r="J58" s="4" t="s">
        <v>70</v>
      </c>
      <c r="K58" s="4">
        <v>7</v>
      </c>
      <c r="L58" s="4">
        <v>1526.66</v>
      </c>
      <c r="M58" s="4">
        <v>0</v>
      </c>
      <c r="N58" s="4">
        <v>10686.59</v>
      </c>
      <c r="O58" s="4">
        <v>1170.81</v>
      </c>
      <c r="P58" s="4" t="s">
        <v>32</v>
      </c>
      <c r="Q58" s="4">
        <v>0</v>
      </c>
    </row>
    <row r="59" spans="5:31" x14ac:dyDescent="0.3">
      <c r="E59" s="4" t="s">
        <v>107</v>
      </c>
      <c r="F59" s="5">
        <v>45015</v>
      </c>
      <c r="G59" s="4" t="s">
        <v>108</v>
      </c>
      <c r="H59" s="4" t="s">
        <v>51</v>
      </c>
      <c r="I59" s="4" t="s">
        <v>35</v>
      </c>
      <c r="J59" s="4" t="s">
        <v>64</v>
      </c>
      <c r="K59" s="4">
        <v>3</v>
      </c>
      <c r="L59" s="4">
        <v>839.48</v>
      </c>
      <c r="M59" s="4">
        <v>0.15</v>
      </c>
      <c r="N59" s="4">
        <v>2140.6799999999998</v>
      </c>
      <c r="O59" s="4">
        <v>620.02</v>
      </c>
      <c r="P59" s="4" t="s">
        <v>48</v>
      </c>
      <c r="Q59" s="4">
        <v>0</v>
      </c>
    </row>
    <row r="60" spans="5:31" x14ac:dyDescent="0.3">
      <c r="E60" s="4" t="s">
        <v>109</v>
      </c>
      <c r="F60" s="5">
        <v>45242</v>
      </c>
      <c r="G60" s="4" t="s">
        <v>43</v>
      </c>
      <c r="H60" s="4" t="s">
        <v>51</v>
      </c>
      <c r="I60" s="4" t="s">
        <v>24</v>
      </c>
      <c r="J60" s="4" t="s">
        <v>52</v>
      </c>
      <c r="K60" s="4">
        <v>4</v>
      </c>
      <c r="L60" s="4">
        <v>1189.53</v>
      </c>
      <c r="M60" s="4">
        <v>0.2</v>
      </c>
      <c r="N60" s="4">
        <v>3806.5</v>
      </c>
      <c r="O60" s="4">
        <v>277.58999999999997</v>
      </c>
      <c r="P60" s="4" t="s">
        <v>26</v>
      </c>
      <c r="Q60" s="4">
        <v>0</v>
      </c>
    </row>
    <row r="61" spans="5:31" x14ac:dyDescent="0.3">
      <c r="E61" s="4" t="s">
        <v>110</v>
      </c>
      <c r="F61" s="5">
        <v>44940</v>
      </c>
      <c r="G61" s="4" t="s">
        <v>40</v>
      </c>
      <c r="H61" s="4" t="s">
        <v>29</v>
      </c>
      <c r="I61" s="4" t="s">
        <v>35</v>
      </c>
      <c r="J61" s="4" t="s">
        <v>70</v>
      </c>
      <c r="K61" s="4">
        <v>7</v>
      </c>
      <c r="L61" s="4">
        <v>1584.46</v>
      </c>
      <c r="M61" s="4">
        <v>0.2</v>
      </c>
      <c r="N61" s="4">
        <v>8872.99</v>
      </c>
      <c r="O61" s="4">
        <v>2508.6799999999998</v>
      </c>
      <c r="P61" s="4" t="s">
        <v>32</v>
      </c>
      <c r="Q61" s="4">
        <v>0</v>
      </c>
    </row>
    <row r="62" spans="5:31" x14ac:dyDescent="0.3">
      <c r="E62" s="4" t="s">
        <v>111</v>
      </c>
      <c r="F62" s="5">
        <v>45168</v>
      </c>
      <c r="G62" s="4" t="s">
        <v>33</v>
      </c>
      <c r="H62" s="4" t="s">
        <v>29</v>
      </c>
      <c r="I62" s="4" t="s">
        <v>24</v>
      </c>
      <c r="J62" s="4" t="s">
        <v>52</v>
      </c>
      <c r="K62" s="4">
        <v>5</v>
      </c>
      <c r="L62" s="4">
        <v>1500.37</v>
      </c>
      <c r="M62" s="4">
        <v>0.2</v>
      </c>
      <c r="N62" s="4">
        <v>6001.47</v>
      </c>
      <c r="O62" s="4">
        <v>826.58</v>
      </c>
      <c r="P62" s="4" t="s">
        <v>42</v>
      </c>
      <c r="Q62" s="4">
        <v>600.14700000000005</v>
      </c>
    </row>
    <row r="63" spans="5:31" x14ac:dyDescent="0.3">
      <c r="E63" s="4" t="s">
        <v>112</v>
      </c>
      <c r="F63" s="5">
        <v>45191</v>
      </c>
      <c r="G63" s="4" t="s">
        <v>43</v>
      </c>
      <c r="H63" s="4" t="s">
        <v>23</v>
      </c>
      <c r="I63" s="4" t="s">
        <v>35</v>
      </c>
      <c r="J63" s="4" t="s">
        <v>64</v>
      </c>
      <c r="K63" s="4">
        <v>1</v>
      </c>
      <c r="L63" s="4">
        <v>292.13</v>
      </c>
      <c r="M63" s="4">
        <v>0.2</v>
      </c>
      <c r="N63" s="4">
        <v>233.71</v>
      </c>
      <c r="O63" s="4">
        <v>24.69</v>
      </c>
      <c r="P63" s="4" t="s">
        <v>26</v>
      </c>
      <c r="Q63" s="4">
        <v>0</v>
      </c>
    </row>
    <row r="64" spans="5:31" x14ac:dyDescent="0.3">
      <c r="E64" s="4" t="s">
        <v>113</v>
      </c>
      <c r="F64" s="5">
        <v>45272</v>
      </c>
      <c r="G64" s="4" t="s">
        <v>2</v>
      </c>
      <c r="H64" s="4" t="s">
        <v>23</v>
      </c>
      <c r="I64" s="4" t="s">
        <v>30</v>
      </c>
      <c r="J64" s="4" t="s">
        <v>60</v>
      </c>
      <c r="K64" s="4">
        <v>5</v>
      </c>
      <c r="L64" s="4">
        <v>1075.32</v>
      </c>
      <c r="M64" s="4">
        <v>0.1</v>
      </c>
      <c r="N64" s="4">
        <v>4838.9399999999996</v>
      </c>
      <c r="O64" s="4">
        <v>945.17</v>
      </c>
      <c r="P64" s="4" t="s">
        <v>42</v>
      </c>
      <c r="Q64" s="4">
        <v>0</v>
      </c>
    </row>
    <row r="65" spans="5:17" x14ac:dyDescent="0.3">
      <c r="E65" s="4" t="s">
        <v>114</v>
      </c>
      <c r="F65" s="5">
        <v>44979</v>
      </c>
      <c r="G65" s="4" t="s">
        <v>108</v>
      </c>
      <c r="H65" s="4" t="s">
        <v>54</v>
      </c>
      <c r="I65" s="4" t="s">
        <v>35</v>
      </c>
      <c r="J65" s="4" t="s">
        <v>36</v>
      </c>
      <c r="K65" s="4">
        <v>7</v>
      </c>
      <c r="L65" s="4">
        <v>1973.4</v>
      </c>
      <c r="M65" s="4">
        <v>0.15</v>
      </c>
      <c r="N65" s="4">
        <v>11741.74</v>
      </c>
      <c r="O65" s="4">
        <v>1615.13</v>
      </c>
      <c r="P65" s="4" t="s">
        <v>42</v>
      </c>
      <c r="Q65" s="4">
        <v>0</v>
      </c>
    </row>
    <row r="66" spans="5:17" x14ac:dyDescent="0.3">
      <c r="E66" s="4" t="s">
        <v>115</v>
      </c>
      <c r="F66" s="5">
        <v>45266</v>
      </c>
      <c r="G66" s="4" t="s">
        <v>33</v>
      </c>
      <c r="H66" s="4" t="s">
        <v>51</v>
      </c>
      <c r="I66" s="4" t="s">
        <v>30</v>
      </c>
      <c r="J66" s="4" t="s">
        <v>56</v>
      </c>
      <c r="K66" s="4">
        <v>3</v>
      </c>
      <c r="L66" s="4">
        <v>311.27999999999997</v>
      </c>
      <c r="M66" s="4">
        <v>0.1</v>
      </c>
      <c r="N66" s="4">
        <v>840.44</v>
      </c>
      <c r="O66" s="4">
        <v>95.32</v>
      </c>
      <c r="P66" s="4" t="s">
        <v>32</v>
      </c>
      <c r="Q66" s="4">
        <v>0</v>
      </c>
    </row>
    <row r="67" spans="5:17" x14ac:dyDescent="0.3">
      <c r="E67" s="4" t="s">
        <v>116</v>
      </c>
      <c r="F67" s="5">
        <v>45018</v>
      </c>
      <c r="G67" s="4" t="s">
        <v>43</v>
      </c>
      <c r="H67" s="4" t="s">
        <v>29</v>
      </c>
      <c r="I67" s="4" t="s">
        <v>30</v>
      </c>
      <c r="J67" s="4" t="s">
        <v>31</v>
      </c>
      <c r="K67" s="4">
        <v>9</v>
      </c>
      <c r="L67" s="4">
        <v>1514</v>
      </c>
      <c r="M67" s="4">
        <v>0.1</v>
      </c>
      <c r="N67" s="4">
        <v>12263.42</v>
      </c>
      <c r="O67" s="4">
        <v>2401.69</v>
      </c>
      <c r="P67" s="4" t="s">
        <v>42</v>
      </c>
      <c r="Q67" s="4">
        <v>1226.3420000000001</v>
      </c>
    </row>
    <row r="68" spans="5:17" x14ac:dyDescent="0.3">
      <c r="E68" s="4" t="s">
        <v>117</v>
      </c>
      <c r="F68" s="5">
        <v>45190</v>
      </c>
      <c r="G68" s="4" t="s">
        <v>22</v>
      </c>
      <c r="H68" s="4" t="s">
        <v>51</v>
      </c>
      <c r="I68" s="4" t="s">
        <v>35</v>
      </c>
      <c r="J68" s="4" t="s">
        <v>70</v>
      </c>
      <c r="K68" s="4">
        <v>8</v>
      </c>
      <c r="L68" s="4">
        <v>1103.9000000000001</v>
      </c>
      <c r="M68" s="4">
        <v>0.2</v>
      </c>
      <c r="N68" s="4">
        <v>7064.98</v>
      </c>
      <c r="O68" s="4">
        <v>2054.54</v>
      </c>
      <c r="P68" s="4" t="s">
        <v>32</v>
      </c>
      <c r="Q68" s="4">
        <v>0</v>
      </c>
    </row>
    <row r="69" spans="5:17" x14ac:dyDescent="0.3">
      <c r="E69" s="4" t="s">
        <v>118</v>
      </c>
      <c r="F69" s="5">
        <v>44961</v>
      </c>
      <c r="G69" s="4" t="s">
        <v>33</v>
      </c>
      <c r="H69" s="4" t="s">
        <v>29</v>
      </c>
      <c r="I69" s="4" t="s">
        <v>35</v>
      </c>
      <c r="J69" s="4" t="s">
        <v>36</v>
      </c>
      <c r="K69" s="4">
        <v>5</v>
      </c>
      <c r="L69" s="4">
        <v>580.67999999999995</v>
      </c>
      <c r="M69" s="4">
        <v>0.1</v>
      </c>
      <c r="N69" s="4">
        <v>2613.0700000000002</v>
      </c>
      <c r="O69" s="4">
        <v>763.87</v>
      </c>
      <c r="P69" s="4" t="s">
        <v>48</v>
      </c>
      <c r="Q69" s="4">
        <v>0</v>
      </c>
    </row>
    <row r="70" spans="5:17" x14ac:dyDescent="0.3">
      <c r="E70" s="4" t="s">
        <v>119</v>
      </c>
      <c r="F70" s="5">
        <v>45132</v>
      </c>
      <c r="G70" s="4" t="s">
        <v>43</v>
      </c>
      <c r="H70" s="4" t="s">
        <v>29</v>
      </c>
      <c r="I70" s="4" t="s">
        <v>35</v>
      </c>
      <c r="J70" s="4" t="s">
        <v>64</v>
      </c>
      <c r="K70" s="4">
        <v>1</v>
      </c>
      <c r="L70" s="4">
        <v>1292.3599999999999</v>
      </c>
      <c r="M70" s="4">
        <v>0.1</v>
      </c>
      <c r="N70" s="4">
        <v>1163.1199999999999</v>
      </c>
      <c r="O70" s="4">
        <v>320.2</v>
      </c>
      <c r="P70" s="4" t="s">
        <v>42</v>
      </c>
      <c r="Q70" s="4">
        <v>116.312</v>
      </c>
    </row>
    <row r="71" spans="5:17" x14ac:dyDescent="0.3">
      <c r="E71" s="4" t="s">
        <v>120</v>
      </c>
      <c r="F71" s="5">
        <v>45007</v>
      </c>
      <c r="G71" s="4" t="s">
        <v>40</v>
      </c>
      <c r="H71" s="4" t="s">
        <v>51</v>
      </c>
      <c r="I71" s="4" t="s">
        <v>30</v>
      </c>
      <c r="J71" s="4" t="s">
        <v>60</v>
      </c>
      <c r="K71" s="4">
        <v>8</v>
      </c>
      <c r="L71" s="4">
        <v>1278.25</v>
      </c>
      <c r="M71" s="4">
        <v>0.05</v>
      </c>
      <c r="N71" s="4">
        <v>9714.7099999999991</v>
      </c>
      <c r="O71" s="4">
        <v>942.62</v>
      </c>
      <c r="P71" s="4" t="s">
        <v>32</v>
      </c>
      <c r="Q71" s="4">
        <v>0</v>
      </c>
    </row>
    <row r="72" spans="5:17" x14ac:dyDescent="0.3">
      <c r="E72" s="4" t="s">
        <v>121</v>
      </c>
      <c r="F72" s="5">
        <v>44976</v>
      </c>
      <c r="G72" s="4" t="s">
        <v>2</v>
      </c>
      <c r="H72" s="4" t="s">
        <v>54</v>
      </c>
      <c r="I72" s="4" t="s">
        <v>30</v>
      </c>
      <c r="J72" s="4" t="s">
        <v>31</v>
      </c>
      <c r="K72" s="4">
        <v>9</v>
      </c>
      <c r="L72" s="4">
        <v>593.9</v>
      </c>
      <c r="M72" s="4">
        <v>0.1</v>
      </c>
      <c r="N72" s="4">
        <v>4810.63</v>
      </c>
      <c r="O72" s="4">
        <v>1080.18</v>
      </c>
      <c r="P72" s="4" t="s">
        <v>48</v>
      </c>
      <c r="Q72" s="4">
        <v>0</v>
      </c>
    </row>
    <row r="73" spans="5:17" x14ac:dyDescent="0.3">
      <c r="E73" s="4" t="s">
        <v>122</v>
      </c>
      <c r="F73" s="5">
        <v>45286</v>
      </c>
      <c r="G73" s="4" t="s">
        <v>22</v>
      </c>
      <c r="H73" s="4" t="s">
        <v>29</v>
      </c>
      <c r="I73" s="4" t="s">
        <v>35</v>
      </c>
      <c r="J73" s="4" t="s">
        <v>70</v>
      </c>
      <c r="K73" s="4">
        <v>3</v>
      </c>
      <c r="L73" s="4">
        <v>1662.82</v>
      </c>
      <c r="M73" s="4">
        <v>0.05</v>
      </c>
      <c r="N73" s="4">
        <v>4739.04</v>
      </c>
      <c r="O73" s="4">
        <v>730.57</v>
      </c>
      <c r="P73" s="4" t="s">
        <v>48</v>
      </c>
      <c r="Q73" s="4">
        <v>0</v>
      </c>
    </row>
    <row r="74" spans="5:17" x14ac:dyDescent="0.3">
      <c r="E74" s="4" t="s">
        <v>123</v>
      </c>
      <c r="F74" s="5">
        <v>44928</v>
      </c>
      <c r="G74" s="4" t="s">
        <v>28</v>
      </c>
      <c r="H74" s="4" t="s">
        <v>51</v>
      </c>
      <c r="I74" s="4" t="s">
        <v>30</v>
      </c>
      <c r="J74" s="4" t="s">
        <v>60</v>
      </c>
      <c r="K74" s="4">
        <v>8</v>
      </c>
      <c r="L74" s="4">
        <v>1765.66</v>
      </c>
      <c r="M74" s="4">
        <v>0.1</v>
      </c>
      <c r="N74" s="4">
        <v>12712.73</v>
      </c>
      <c r="O74" s="4">
        <v>779.35</v>
      </c>
      <c r="P74" s="4" t="s">
        <v>48</v>
      </c>
      <c r="Q74" s="4">
        <v>0</v>
      </c>
    </row>
    <row r="75" spans="5:17" x14ac:dyDescent="0.3">
      <c r="E75" s="4" t="s">
        <v>124</v>
      </c>
      <c r="F75" s="5">
        <v>44980</v>
      </c>
      <c r="G75" s="4" t="s">
        <v>40</v>
      </c>
      <c r="H75" s="4" t="s">
        <v>29</v>
      </c>
      <c r="I75" s="4" t="s">
        <v>30</v>
      </c>
      <c r="J75" s="4" t="s">
        <v>31</v>
      </c>
      <c r="K75" s="4">
        <v>2</v>
      </c>
      <c r="L75" s="4">
        <v>1975.82</v>
      </c>
      <c r="M75" s="4">
        <v>0</v>
      </c>
      <c r="N75" s="4">
        <v>3951.65</v>
      </c>
      <c r="O75" s="4">
        <v>569.77</v>
      </c>
      <c r="P75" s="4" t="s">
        <v>48</v>
      </c>
      <c r="Q75" s="4">
        <v>0</v>
      </c>
    </row>
    <row r="76" spans="5:17" x14ac:dyDescent="0.3">
      <c r="E76" s="4" t="s">
        <v>125</v>
      </c>
      <c r="F76" s="5">
        <v>45032</v>
      </c>
      <c r="G76" s="4" t="s">
        <v>2</v>
      </c>
      <c r="H76" s="4" t="s">
        <v>54</v>
      </c>
      <c r="I76" s="4" t="s">
        <v>30</v>
      </c>
      <c r="J76" s="4" t="s">
        <v>56</v>
      </c>
      <c r="K76" s="4">
        <v>1</v>
      </c>
      <c r="L76" s="4">
        <v>1692.82</v>
      </c>
      <c r="M76" s="4">
        <v>0.05</v>
      </c>
      <c r="N76" s="4">
        <v>1608.18</v>
      </c>
      <c r="O76" s="4">
        <v>95.21</v>
      </c>
      <c r="P76" s="4" t="s">
        <v>42</v>
      </c>
      <c r="Q76" s="4">
        <v>0</v>
      </c>
    </row>
    <row r="77" spans="5:17" x14ac:dyDescent="0.3">
      <c r="E77" s="4" t="s">
        <v>126</v>
      </c>
      <c r="F77" s="5">
        <v>45186</v>
      </c>
      <c r="G77" s="4" t="s">
        <v>22</v>
      </c>
      <c r="H77" s="4" t="s">
        <v>29</v>
      </c>
      <c r="I77" s="4" t="s">
        <v>24</v>
      </c>
      <c r="J77" s="4" t="s">
        <v>52</v>
      </c>
      <c r="K77" s="4">
        <v>1</v>
      </c>
      <c r="L77" s="4">
        <v>1115.26</v>
      </c>
      <c r="M77" s="4">
        <v>0.2</v>
      </c>
      <c r="N77" s="4">
        <v>892.21</v>
      </c>
      <c r="O77" s="4">
        <v>266.91000000000003</v>
      </c>
      <c r="P77" s="4" t="s">
        <v>48</v>
      </c>
      <c r="Q77" s="4">
        <v>0</v>
      </c>
    </row>
    <row r="78" spans="5:17" x14ac:dyDescent="0.3">
      <c r="E78" s="4" t="s">
        <v>127</v>
      </c>
      <c r="F78" s="5">
        <v>45236</v>
      </c>
      <c r="G78" s="4" t="s">
        <v>108</v>
      </c>
      <c r="H78" s="4" t="s">
        <v>54</v>
      </c>
      <c r="I78" s="4" t="s">
        <v>35</v>
      </c>
      <c r="J78" s="4" t="s">
        <v>70</v>
      </c>
      <c r="K78" s="4">
        <v>3</v>
      </c>
      <c r="L78" s="4">
        <v>569.96</v>
      </c>
      <c r="M78" s="4">
        <v>0</v>
      </c>
      <c r="N78" s="4">
        <v>1709.88</v>
      </c>
      <c r="O78" s="4">
        <v>140.71</v>
      </c>
      <c r="P78" s="4" t="s">
        <v>48</v>
      </c>
      <c r="Q78" s="4">
        <v>0</v>
      </c>
    </row>
    <row r="79" spans="5:17" x14ac:dyDescent="0.3">
      <c r="E79" s="4" t="s">
        <v>128</v>
      </c>
      <c r="F79" s="5">
        <v>45117</v>
      </c>
      <c r="G79" s="4" t="s">
        <v>74</v>
      </c>
      <c r="H79" s="4" t="s">
        <v>29</v>
      </c>
      <c r="I79" s="4" t="s">
        <v>30</v>
      </c>
      <c r="J79" s="4" t="s">
        <v>31</v>
      </c>
      <c r="K79" s="4">
        <v>1</v>
      </c>
      <c r="L79" s="4">
        <v>1538.3</v>
      </c>
      <c r="M79" s="4">
        <v>0.05</v>
      </c>
      <c r="N79" s="4">
        <v>1461.38</v>
      </c>
      <c r="O79" s="4">
        <v>203.92</v>
      </c>
      <c r="P79" s="4" t="s">
        <v>32</v>
      </c>
      <c r="Q79" s="4">
        <v>0</v>
      </c>
    </row>
    <row r="80" spans="5:17" x14ac:dyDescent="0.3">
      <c r="E80" s="4" t="s">
        <v>129</v>
      </c>
      <c r="F80" s="5">
        <v>45144</v>
      </c>
      <c r="G80" s="4" t="s">
        <v>2</v>
      </c>
      <c r="H80" s="4" t="s">
        <v>23</v>
      </c>
      <c r="I80" s="4" t="s">
        <v>30</v>
      </c>
      <c r="J80" s="4" t="s">
        <v>60</v>
      </c>
      <c r="K80" s="4">
        <v>6</v>
      </c>
      <c r="L80" s="4">
        <v>1567.4</v>
      </c>
      <c r="M80" s="4">
        <v>0.1</v>
      </c>
      <c r="N80" s="4">
        <v>8463.99</v>
      </c>
      <c r="O80" s="4">
        <v>1074.45</v>
      </c>
      <c r="P80" s="4" t="s">
        <v>42</v>
      </c>
      <c r="Q80" s="4">
        <v>0</v>
      </c>
    </row>
    <row r="81" spans="5:17" x14ac:dyDescent="0.3">
      <c r="E81" s="4" t="s">
        <v>130</v>
      </c>
      <c r="F81" s="5">
        <v>44970</v>
      </c>
      <c r="G81" s="4" t="s">
        <v>33</v>
      </c>
      <c r="H81" s="4" t="s">
        <v>29</v>
      </c>
      <c r="I81" s="4" t="s">
        <v>35</v>
      </c>
      <c r="J81" s="4" t="s">
        <v>64</v>
      </c>
      <c r="K81" s="4">
        <v>9</v>
      </c>
      <c r="L81" s="4">
        <v>1220.92</v>
      </c>
      <c r="M81" s="4">
        <v>0.2</v>
      </c>
      <c r="N81" s="4">
        <v>8790.6</v>
      </c>
      <c r="O81" s="4">
        <v>1802.75</v>
      </c>
      <c r="P81" s="4" t="s">
        <v>26</v>
      </c>
      <c r="Q81" s="4">
        <v>0</v>
      </c>
    </row>
    <row r="82" spans="5:17" x14ac:dyDescent="0.3">
      <c r="E82" s="4" t="s">
        <v>131</v>
      </c>
      <c r="F82" s="5">
        <v>45088</v>
      </c>
      <c r="G82" s="4" t="s">
        <v>108</v>
      </c>
      <c r="H82" s="4" t="s">
        <v>29</v>
      </c>
      <c r="I82" s="4" t="s">
        <v>24</v>
      </c>
      <c r="J82" s="4" t="s">
        <v>52</v>
      </c>
      <c r="K82" s="4">
        <v>2</v>
      </c>
      <c r="L82" s="4">
        <v>766.12</v>
      </c>
      <c r="M82" s="4">
        <v>0.05</v>
      </c>
      <c r="N82" s="4">
        <v>1455.62</v>
      </c>
      <c r="O82" s="4">
        <v>304.45999999999998</v>
      </c>
      <c r="P82" s="4" t="s">
        <v>32</v>
      </c>
      <c r="Q82" s="4">
        <v>0</v>
      </c>
    </row>
    <row r="83" spans="5:17" x14ac:dyDescent="0.3">
      <c r="E83" s="4" t="s">
        <v>132</v>
      </c>
      <c r="F83" s="5">
        <v>45128</v>
      </c>
      <c r="G83" s="4" t="s">
        <v>40</v>
      </c>
      <c r="H83" s="4" t="s">
        <v>29</v>
      </c>
      <c r="I83" s="4" t="s">
        <v>35</v>
      </c>
      <c r="J83" s="4" t="s">
        <v>64</v>
      </c>
      <c r="K83" s="4">
        <v>1</v>
      </c>
      <c r="L83" s="4">
        <v>1588.94</v>
      </c>
      <c r="M83" s="4">
        <v>0.15</v>
      </c>
      <c r="N83" s="4">
        <v>1350.6</v>
      </c>
      <c r="O83" s="4">
        <v>168.14</v>
      </c>
      <c r="P83" s="4" t="s">
        <v>48</v>
      </c>
      <c r="Q83" s="4">
        <v>0</v>
      </c>
    </row>
    <row r="84" spans="5:17" x14ac:dyDescent="0.3">
      <c r="E84" s="4" t="s">
        <v>133</v>
      </c>
      <c r="F84" s="5">
        <v>45196</v>
      </c>
      <c r="G84" s="4" t="s">
        <v>38</v>
      </c>
      <c r="H84" s="4" t="s">
        <v>51</v>
      </c>
      <c r="I84" s="4" t="s">
        <v>35</v>
      </c>
      <c r="J84" s="4" t="s">
        <v>70</v>
      </c>
      <c r="K84" s="4">
        <v>4</v>
      </c>
      <c r="L84" s="4">
        <v>972.76</v>
      </c>
      <c r="M84" s="4">
        <v>0</v>
      </c>
      <c r="N84" s="4">
        <v>3891.04</v>
      </c>
      <c r="O84" s="4">
        <v>673.26</v>
      </c>
      <c r="P84" s="4" t="s">
        <v>48</v>
      </c>
      <c r="Q84" s="4">
        <v>0</v>
      </c>
    </row>
    <row r="85" spans="5:17" x14ac:dyDescent="0.3">
      <c r="E85" s="4" t="s">
        <v>134</v>
      </c>
      <c r="F85" s="5">
        <v>45277</v>
      </c>
      <c r="G85" s="4" t="s">
        <v>108</v>
      </c>
      <c r="H85" s="4" t="s">
        <v>29</v>
      </c>
      <c r="I85" s="4" t="s">
        <v>30</v>
      </c>
      <c r="J85" s="4" t="s">
        <v>60</v>
      </c>
      <c r="K85" s="4">
        <v>5</v>
      </c>
      <c r="L85" s="4">
        <v>760.09</v>
      </c>
      <c r="M85" s="4">
        <v>0.1</v>
      </c>
      <c r="N85" s="4">
        <v>3420.38</v>
      </c>
      <c r="O85" s="4">
        <v>666.68</v>
      </c>
      <c r="P85" s="4" t="s">
        <v>48</v>
      </c>
      <c r="Q85" s="4">
        <v>0</v>
      </c>
    </row>
    <row r="86" spans="5:17" x14ac:dyDescent="0.3">
      <c r="E86" s="4" t="s">
        <v>135</v>
      </c>
      <c r="F86" s="5">
        <v>45230</v>
      </c>
      <c r="G86" s="4" t="s">
        <v>74</v>
      </c>
      <c r="H86" s="4" t="s">
        <v>54</v>
      </c>
      <c r="I86" s="4" t="s">
        <v>24</v>
      </c>
      <c r="J86" s="4" t="s">
        <v>25</v>
      </c>
      <c r="K86" s="4">
        <v>6</v>
      </c>
      <c r="L86" s="4">
        <v>1425.57</v>
      </c>
      <c r="M86" s="4">
        <v>0.15</v>
      </c>
      <c r="N86" s="4">
        <v>7270.4</v>
      </c>
      <c r="O86" s="4">
        <v>694.11</v>
      </c>
      <c r="P86" s="4" t="s">
        <v>26</v>
      </c>
      <c r="Q86" s="4">
        <v>0</v>
      </c>
    </row>
    <row r="87" spans="5:17" x14ac:dyDescent="0.3">
      <c r="E87" s="4" t="s">
        <v>136</v>
      </c>
      <c r="F87" s="5">
        <v>45197</v>
      </c>
      <c r="G87" s="4" t="s">
        <v>22</v>
      </c>
      <c r="H87" s="4" t="s">
        <v>23</v>
      </c>
      <c r="I87" s="4" t="s">
        <v>24</v>
      </c>
      <c r="J87" s="4" t="s">
        <v>25</v>
      </c>
      <c r="K87" s="4">
        <v>2</v>
      </c>
      <c r="L87" s="4">
        <v>1243.68</v>
      </c>
      <c r="M87" s="4">
        <v>0.1</v>
      </c>
      <c r="N87" s="4">
        <v>2238.62</v>
      </c>
      <c r="O87" s="4">
        <v>134.80000000000001</v>
      </c>
      <c r="P87" s="4" t="s">
        <v>42</v>
      </c>
      <c r="Q87" s="4">
        <v>0</v>
      </c>
    </row>
    <row r="88" spans="5:17" x14ac:dyDescent="0.3">
      <c r="E88" s="4" t="s">
        <v>137</v>
      </c>
      <c r="F88" s="5">
        <v>45141</v>
      </c>
      <c r="G88" s="4" t="s">
        <v>40</v>
      </c>
      <c r="H88" s="4" t="s">
        <v>23</v>
      </c>
      <c r="I88" s="4" t="s">
        <v>30</v>
      </c>
      <c r="J88" s="4" t="s">
        <v>31</v>
      </c>
      <c r="K88" s="4">
        <v>6</v>
      </c>
      <c r="L88" s="4">
        <v>268.52999999999997</v>
      </c>
      <c r="M88" s="4">
        <v>0</v>
      </c>
      <c r="N88" s="4">
        <v>1611.21</v>
      </c>
      <c r="O88" s="4">
        <v>295.83</v>
      </c>
      <c r="P88" s="4" t="s">
        <v>32</v>
      </c>
      <c r="Q88" s="4">
        <v>0</v>
      </c>
    </row>
    <row r="89" spans="5:17" x14ac:dyDescent="0.3">
      <c r="E89" s="4" t="s">
        <v>138</v>
      </c>
      <c r="F89" s="5">
        <v>45178</v>
      </c>
      <c r="G89" s="4" t="s">
        <v>74</v>
      </c>
      <c r="H89" s="4" t="s">
        <v>23</v>
      </c>
      <c r="I89" s="4" t="s">
        <v>35</v>
      </c>
      <c r="J89" s="4" t="s">
        <v>64</v>
      </c>
      <c r="K89" s="4">
        <v>9</v>
      </c>
      <c r="L89" s="4">
        <v>275.35000000000002</v>
      </c>
      <c r="M89" s="4">
        <v>0</v>
      </c>
      <c r="N89" s="4">
        <v>2478.17</v>
      </c>
      <c r="O89" s="4">
        <v>550.02</v>
      </c>
      <c r="P89" s="4" t="s">
        <v>26</v>
      </c>
      <c r="Q89" s="4">
        <v>0</v>
      </c>
    </row>
    <row r="90" spans="5:17" x14ac:dyDescent="0.3">
      <c r="E90" s="4" t="s">
        <v>139</v>
      </c>
      <c r="F90" s="5">
        <v>45116</v>
      </c>
      <c r="G90" s="4" t="s">
        <v>108</v>
      </c>
      <c r="H90" s="4" t="s">
        <v>54</v>
      </c>
      <c r="I90" s="4" t="s">
        <v>24</v>
      </c>
      <c r="J90" s="4" t="s">
        <v>41</v>
      </c>
      <c r="K90" s="4">
        <v>1</v>
      </c>
      <c r="L90" s="4">
        <v>626.07000000000005</v>
      </c>
      <c r="M90" s="4">
        <v>0</v>
      </c>
      <c r="N90" s="4">
        <v>626.07000000000005</v>
      </c>
      <c r="O90" s="4">
        <v>44.53</v>
      </c>
      <c r="P90" s="4" t="s">
        <v>42</v>
      </c>
      <c r="Q90" s="4">
        <v>0</v>
      </c>
    </row>
    <row r="91" spans="5:17" x14ac:dyDescent="0.3">
      <c r="E91" s="4" t="s">
        <v>140</v>
      </c>
      <c r="F91" s="5">
        <v>45222</v>
      </c>
      <c r="G91" s="4" t="s">
        <v>74</v>
      </c>
      <c r="H91" s="4" t="s">
        <v>23</v>
      </c>
      <c r="I91" s="4" t="s">
        <v>24</v>
      </c>
      <c r="J91" s="4" t="s">
        <v>25</v>
      </c>
      <c r="K91" s="4">
        <v>8</v>
      </c>
      <c r="L91" s="4">
        <v>1020.59</v>
      </c>
      <c r="M91" s="4">
        <v>0.05</v>
      </c>
      <c r="N91" s="4">
        <v>7756.51</v>
      </c>
      <c r="O91" s="4">
        <v>1861.48</v>
      </c>
      <c r="P91" s="4" t="s">
        <v>48</v>
      </c>
      <c r="Q91" s="4">
        <v>0</v>
      </c>
    </row>
    <row r="92" spans="5:17" x14ac:dyDescent="0.3">
      <c r="E92" s="4" t="s">
        <v>141</v>
      </c>
      <c r="F92" s="5">
        <v>45139</v>
      </c>
      <c r="G92" s="4" t="s">
        <v>33</v>
      </c>
      <c r="H92" s="4" t="s">
        <v>23</v>
      </c>
      <c r="I92" s="4" t="s">
        <v>30</v>
      </c>
      <c r="J92" s="4" t="s">
        <v>60</v>
      </c>
      <c r="K92" s="4">
        <v>8</v>
      </c>
      <c r="L92" s="4">
        <v>352.92</v>
      </c>
      <c r="M92" s="4">
        <v>0.1</v>
      </c>
      <c r="N92" s="4">
        <v>2541.04</v>
      </c>
      <c r="O92" s="4">
        <v>695.74</v>
      </c>
      <c r="P92" s="4" t="s">
        <v>32</v>
      </c>
      <c r="Q92" s="4">
        <v>0</v>
      </c>
    </row>
    <row r="93" spans="5:17" x14ac:dyDescent="0.3">
      <c r="E93" s="4" t="s">
        <v>142</v>
      </c>
      <c r="F93" s="5">
        <v>45134</v>
      </c>
      <c r="G93" s="4" t="s">
        <v>43</v>
      </c>
      <c r="H93" s="4" t="s">
        <v>54</v>
      </c>
      <c r="I93" s="4" t="s">
        <v>24</v>
      </c>
      <c r="J93" s="4" t="s">
        <v>25</v>
      </c>
      <c r="K93" s="4">
        <v>9</v>
      </c>
      <c r="L93" s="4">
        <v>1501.07</v>
      </c>
      <c r="M93" s="4">
        <v>0.15</v>
      </c>
      <c r="N93" s="4">
        <v>11483.18</v>
      </c>
      <c r="O93" s="4">
        <v>631.78</v>
      </c>
      <c r="P93" s="4" t="s">
        <v>26</v>
      </c>
      <c r="Q93" s="4">
        <v>0</v>
      </c>
    </row>
    <row r="94" spans="5:17" x14ac:dyDescent="0.3">
      <c r="E94" s="4" t="s">
        <v>143</v>
      </c>
      <c r="F94" s="5">
        <v>45163</v>
      </c>
      <c r="G94" s="4" t="s">
        <v>40</v>
      </c>
      <c r="H94" s="4" t="s">
        <v>29</v>
      </c>
      <c r="I94" s="4" t="s">
        <v>30</v>
      </c>
      <c r="J94" s="4" t="s">
        <v>60</v>
      </c>
      <c r="K94" s="4">
        <v>9</v>
      </c>
      <c r="L94" s="4">
        <v>1792</v>
      </c>
      <c r="M94" s="4">
        <v>0.15</v>
      </c>
      <c r="N94" s="4">
        <v>13708.81</v>
      </c>
      <c r="O94" s="4">
        <v>2309.83</v>
      </c>
      <c r="P94" s="4" t="s">
        <v>48</v>
      </c>
      <c r="Q94" s="4">
        <v>0</v>
      </c>
    </row>
    <row r="95" spans="5:17" x14ac:dyDescent="0.3">
      <c r="E95" s="4" t="s">
        <v>144</v>
      </c>
      <c r="F95" s="5">
        <v>45264</v>
      </c>
      <c r="G95" s="4" t="s">
        <v>74</v>
      </c>
      <c r="H95" s="4" t="s">
        <v>54</v>
      </c>
      <c r="I95" s="4" t="s">
        <v>35</v>
      </c>
      <c r="J95" s="4" t="s">
        <v>64</v>
      </c>
      <c r="K95" s="4">
        <v>4</v>
      </c>
      <c r="L95" s="4">
        <v>1120.5</v>
      </c>
      <c r="M95" s="4">
        <v>0.05</v>
      </c>
      <c r="N95" s="4">
        <v>4257.91</v>
      </c>
      <c r="O95" s="4">
        <v>806.6</v>
      </c>
      <c r="P95" s="4" t="s">
        <v>42</v>
      </c>
      <c r="Q95" s="4">
        <v>0</v>
      </c>
    </row>
    <row r="96" spans="5:17" x14ac:dyDescent="0.3">
      <c r="E96" s="4" t="s">
        <v>145</v>
      </c>
      <c r="F96" s="5">
        <v>44979</v>
      </c>
      <c r="G96" s="4" t="s">
        <v>33</v>
      </c>
      <c r="H96" s="4" t="s">
        <v>29</v>
      </c>
      <c r="I96" s="4" t="s">
        <v>24</v>
      </c>
      <c r="J96" s="4" t="s">
        <v>52</v>
      </c>
      <c r="K96" s="4">
        <v>9</v>
      </c>
      <c r="L96" s="4">
        <v>741.15</v>
      </c>
      <c r="M96" s="4">
        <v>0.15</v>
      </c>
      <c r="N96" s="4">
        <v>5669.79</v>
      </c>
      <c r="O96" s="4">
        <v>1199.04</v>
      </c>
      <c r="P96" s="4" t="s">
        <v>42</v>
      </c>
      <c r="Q96" s="4">
        <v>566.97900000000004</v>
      </c>
    </row>
    <row r="97" spans="5:17" x14ac:dyDescent="0.3">
      <c r="E97" s="4" t="s">
        <v>146</v>
      </c>
      <c r="F97" s="5">
        <v>45206</v>
      </c>
      <c r="G97" s="4" t="s">
        <v>22</v>
      </c>
      <c r="H97" s="4" t="s">
        <v>23</v>
      </c>
      <c r="I97" s="4" t="s">
        <v>24</v>
      </c>
      <c r="J97" s="4" t="s">
        <v>41</v>
      </c>
      <c r="K97" s="4">
        <v>6</v>
      </c>
      <c r="L97" s="4">
        <v>1250.97</v>
      </c>
      <c r="M97" s="4">
        <v>0</v>
      </c>
      <c r="N97" s="4">
        <v>7505.83</v>
      </c>
      <c r="O97" s="4">
        <v>389.43</v>
      </c>
      <c r="P97" s="4" t="s">
        <v>32</v>
      </c>
      <c r="Q97" s="4">
        <v>0</v>
      </c>
    </row>
    <row r="98" spans="5:17" x14ac:dyDescent="0.3">
      <c r="E98" s="4" t="s">
        <v>147</v>
      </c>
      <c r="F98" s="5">
        <v>45143</v>
      </c>
      <c r="G98" s="4" t="s">
        <v>74</v>
      </c>
      <c r="H98" s="4" t="s">
        <v>54</v>
      </c>
      <c r="I98" s="4" t="s">
        <v>24</v>
      </c>
      <c r="J98" s="4" t="s">
        <v>52</v>
      </c>
      <c r="K98" s="4">
        <v>8</v>
      </c>
      <c r="L98" s="4">
        <v>1803.85</v>
      </c>
      <c r="M98" s="4">
        <v>0.1</v>
      </c>
      <c r="N98" s="4">
        <v>12987.75</v>
      </c>
      <c r="O98" s="4">
        <v>2352.44</v>
      </c>
      <c r="P98" s="4" t="s">
        <v>42</v>
      </c>
      <c r="Q98" s="4">
        <v>0</v>
      </c>
    </row>
    <row r="99" spans="5:17" x14ac:dyDescent="0.3">
      <c r="E99" s="4" t="s">
        <v>148</v>
      </c>
      <c r="F99" s="5">
        <v>45178</v>
      </c>
      <c r="G99" s="4" t="s">
        <v>63</v>
      </c>
      <c r="H99" s="4" t="s">
        <v>23</v>
      </c>
      <c r="I99" s="4" t="s">
        <v>24</v>
      </c>
      <c r="J99" s="4" t="s">
        <v>52</v>
      </c>
      <c r="K99" s="4">
        <v>2</v>
      </c>
      <c r="L99" s="4">
        <v>1194.4000000000001</v>
      </c>
      <c r="M99" s="4">
        <v>0.1</v>
      </c>
      <c r="N99" s="4">
        <v>2149.91</v>
      </c>
      <c r="O99" s="4">
        <v>572.69000000000005</v>
      </c>
      <c r="P99" s="4" t="s">
        <v>48</v>
      </c>
      <c r="Q99" s="4">
        <v>0</v>
      </c>
    </row>
    <row r="100" spans="5:17" x14ac:dyDescent="0.3">
      <c r="E100" s="4" t="s">
        <v>149</v>
      </c>
      <c r="F100" s="5">
        <v>45114</v>
      </c>
      <c r="G100" s="4" t="s">
        <v>74</v>
      </c>
      <c r="H100" s="4" t="s">
        <v>23</v>
      </c>
      <c r="I100" s="4" t="s">
        <v>30</v>
      </c>
      <c r="J100" s="4" t="s">
        <v>60</v>
      </c>
      <c r="K100" s="4">
        <v>3</v>
      </c>
      <c r="L100" s="4">
        <v>1659.64</v>
      </c>
      <c r="M100" s="4">
        <v>0.05</v>
      </c>
      <c r="N100" s="4">
        <v>4729.96</v>
      </c>
      <c r="O100" s="4">
        <v>894.87</v>
      </c>
      <c r="P100" s="4" t="s">
        <v>26</v>
      </c>
      <c r="Q100" s="4">
        <v>0</v>
      </c>
    </row>
    <row r="101" spans="5:17" x14ac:dyDescent="0.3">
      <c r="E101" s="4" t="s">
        <v>150</v>
      </c>
      <c r="F101" s="5">
        <v>44967</v>
      </c>
      <c r="G101" s="4" t="s">
        <v>2</v>
      </c>
      <c r="H101" s="4" t="s">
        <v>51</v>
      </c>
      <c r="I101" s="4" t="s">
        <v>35</v>
      </c>
      <c r="J101" s="4" t="s">
        <v>70</v>
      </c>
      <c r="K101" s="4">
        <v>6</v>
      </c>
      <c r="L101" s="4">
        <v>1939.19</v>
      </c>
      <c r="M101" s="4">
        <v>0.15</v>
      </c>
      <c r="N101" s="4">
        <v>9889.86</v>
      </c>
      <c r="O101" s="4">
        <v>1546.37</v>
      </c>
      <c r="P101" s="4" t="s">
        <v>48</v>
      </c>
      <c r="Q101" s="4">
        <v>0</v>
      </c>
    </row>
    <row r="102" spans="5:17" x14ac:dyDescent="0.3">
      <c r="E102" s="4" t="s">
        <v>151</v>
      </c>
      <c r="F102" s="5">
        <v>45083</v>
      </c>
      <c r="G102" s="4" t="s">
        <v>108</v>
      </c>
      <c r="H102" s="4" t="s">
        <v>54</v>
      </c>
      <c r="I102" s="4" t="s">
        <v>24</v>
      </c>
      <c r="J102" s="4" t="s">
        <v>41</v>
      </c>
      <c r="K102" s="4">
        <v>6</v>
      </c>
      <c r="L102" s="4">
        <v>1204.3499999999999</v>
      </c>
      <c r="M102" s="4">
        <v>0.1</v>
      </c>
      <c r="N102" s="4">
        <v>6503.5</v>
      </c>
      <c r="O102" s="4">
        <v>1840.51</v>
      </c>
      <c r="P102" s="4" t="s">
        <v>32</v>
      </c>
      <c r="Q102" s="4">
        <v>0</v>
      </c>
    </row>
    <row r="103" spans="5:17" x14ac:dyDescent="0.3">
      <c r="E103" s="4" t="s">
        <v>152</v>
      </c>
      <c r="F103" s="5">
        <v>44941</v>
      </c>
      <c r="G103" s="4" t="s">
        <v>74</v>
      </c>
      <c r="H103" s="4" t="s">
        <v>23</v>
      </c>
      <c r="I103" s="4" t="s">
        <v>30</v>
      </c>
      <c r="J103" s="4" t="s">
        <v>60</v>
      </c>
      <c r="K103" s="4">
        <v>5</v>
      </c>
      <c r="L103" s="4">
        <v>220.41</v>
      </c>
      <c r="M103" s="4">
        <v>0.15</v>
      </c>
      <c r="N103" s="4">
        <v>936.75</v>
      </c>
      <c r="O103" s="4">
        <v>94.08</v>
      </c>
      <c r="P103" s="4" t="s">
        <v>42</v>
      </c>
      <c r="Q103" s="4">
        <v>0</v>
      </c>
    </row>
    <row r="104" spans="5:17" x14ac:dyDescent="0.3">
      <c r="E104" s="4" t="s">
        <v>153</v>
      </c>
      <c r="F104" s="5">
        <v>45227</v>
      </c>
      <c r="G104" s="4" t="s">
        <v>74</v>
      </c>
      <c r="H104" s="4" t="s">
        <v>23</v>
      </c>
      <c r="I104" s="4" t="s">
        <v>35</v>
      </c>
      <c r="J104" s="4" t="s">
        <v>36</v>
      </c>
      <c r="K104" s="4">
        <v>5</v>
      </c>
      <c r="L104" s="4">
        <v>105.15</v>
      </c>
      <c r="M104" s="4">
        <v>0</v>
      </c>
      <c r="N104" s="4">
        <v>525.75</v>
      </c>
      <c r="O104" s="4">
        <v>104.58</v>
      </c>
      <c r="P104" s="4" t="s">
        <v>26</v>
      </c>
      <c r="Q104" s="4">
        <v>0</v>
      </c>
    </row>
    <row r="105" spans="5:17" x14ac:dyDescent="0.3">
      <c r="E105" s="4" t="s">
        <v>154</v>
      </c>
      <c r="F105" s="5">
        <v>44991</v>
      </c>
      <c r="G105" s="4" t="s">
        <v>22</v>
      </c>
      <c r="H105" s="4" t="s">
        <v>51</v>
      </c>
      <c r="I105" s="4" t="s">
        <v>24</v>
      </c>
      <c r="J105" s="4" t="s">
        <v>52</v>
      </c>
      <c r="K105" s="4">
        <v>1</v>
      </c>
      <c r="L105" s="4">
        <v>1716.38</v>
      </c>
      <c r="M105" s="4">
        <v>0.15</v>
      </c>
      <c r="N105" s="4">
        <v>1458.92</v>
      </c>
      <c r="O105" s="4">
        <v>424.92</v>
      </c>
      <c r="P105" s="4" t="s">
        <v>26</v>
      </c>
      <c r="Q105" s="4">
        <v>0</v>
      </c>
    </row>
    <row r="106" spans="5:17" x14ac:dyDescent="0.3">
      <c r="E106" s="4" t="s">
        <v>155</v>
      </c>
      <c r="F106" s="5">
        <v>45271</v>
      </c>
      <c r="G106" s="4" t="s">
        <v>74</v>
      </c>
      <c r="H106" s="4" t="s">
        <v>29</v>
      </c>
      <c r="I106" s="4" t="s">
        <v>35</v>
      </c>
      <c r="J106" s="4" t="s">
        <v>64</v>
      </c>
      <c r="K106" s="4">
        <v>3</v>
      </c>
      <c r="L106" s="4">
        <v>226.34</v>
      </c>
      <c r="M106" s="4">
        <v>0.15</v>
      </c>
      <c r="N106" s="4">
        <v>577.16999999999996</v>
      </c>
      <c r="O106" s="4">
        <v>150.33000000000001</v>
      </c>
      <c r="P106" s="4" t="s">
        <v>48</v>
      </c>
      <c r="Q106" s="4">
        <v>0</v>
      </c>
    </row>
    <row r="107" spans="5:17" x14ac:dyDescent="0.3">
      <c r="E107" s="4" t="s">
        <v>156</v>
      </c>
      <c r="F107" s="5">
        <v>45253</v>
      </c>
      <c r="G107" s="4" t="s">
        <v>40</v>
      </c>
      <c r="H107" s="4" t="s">
        <v>23</v>
      </c>
      <c r="I107" s="4" t="s">
        <v>35</v>
      </c>
      <c r="J107" s="4" t="s">
        <v>64</v>
      </c>
      <c r="K107" s="4">
        <v>3</v>
      </c>
      <c r="L107" s="4">
        <v>412.11</v>
      </c>
      <c r="M107" s="4">
        <v>0.2</v>
      </c>
      <c r="N107" s="4">
        <v>989.05</v>
      </c>
      <c r="O107" s="4">
        <v>107.73</v>
      </c>
      <c r="P107" s="4" t="s">
        <v>42</v>
      </c>
      <c r="Q107" s="4">
        <v>0</v>
      </c>
    </row>
    <row r="108" spans="5:17" x14ac:dyDescent="0.3">
      <c r="E108" s="4" t="s">
        <v>157</v>
      </c>
      <c r="F108" s="5">
        <v>44935</v>
      </c>
      <c r="G108" s="4" t="s">
        <v>2</v>
      </c>
      <c r="H108" s="4" t="s">
        <v>29</v>
      </c>
      <c r="I108" s="4" t="s">
        <v>35</v>
      </c>
      <c r="J108" s="4" t="s">
        <v>70</v>
      </c>
      <c r="K108" s="4">
        <v>9</v>
      </c>
      <c r="L108" s="4">
        <v>1397.67</v>
      </c>
      <c r="M108" s="4">
        <v>0.1</v>
      </c>
      <c r="N108" s="4">
        <v>11321.09</v>
      </c>
      <c r="O108" s="4">
        <v>2332.4299999999998</v>
      </c>
      <c r="P108" s="4" t="s">
        <v>26</v>
      </c>
      <c r="Q108" s="4">
        <v>0</v>
      </c>
    </row>
    <row r="109" spans="5:17" x14ac:dyDescent="0.3">
      <c r="E109" s="4" t="s">
        <v>158</v>
      </c>
      <c r="F109" s="5">
        <v>45270</v>
      </c>
      <c r="G109" s="4" t="s">
        <v>74</v>
      </c>
      <c r="H109" s="4" t="s">
        <v>51</v>
      </c>
      <c r="I109" s="4" t="s">
        <v>24</v>
      </c>
      <c r="J109" s="4" t="s">
        <v>41</v>
      </c>
      <c r="K109" s="4">
        <v>9</v>
      </c>
      <c r="L109" s="4">
        <v>775.19</v>
      </c>
      <c r="M109" s="4">
        <v>0.05</v>
      </c>
      <c r="N109" s="4">
        <v>6627.86</v>
      </c>
      <c r="O109" s="4">
        <v>1232.04</v>
      </c>
      <c r="P109" s="4" t="s">
        <v>26</v>
      </c>
      <c r="Q109" s="4">
        <v>0</v>
      </c>
    </row>
    <row r="110" spans="5:17" x14ac:dyDescent="0.3">
      <c r="E110" s="4" t="s">
        <v>159</v>
      </c>
      <c r="F110" s="5">
        <v>45055</v>
      </c>
      <c r="G110" s="4" t="s">
        <v>38</v>
      </c>
      <c r="H110" s="4" t="s">
        <v>29</v>
      </c>
      <c r="I110" s="4" t="s">
        <v>24</v>
      </c>
      <c r="J110" s="4" t="s">
        <v>25</v>
      </c>
      <c r="K110" s="4">
        <v>6</v>
      </c>
      <c r="L110" s="4">
        <v>1885.68</v>
      </c>
      <c r="M110" s="4">
        <v>0.1</v>
      </c>
      <c r="N110" s="4">
        <v>10182.68</v>
      </c>
      <c r="O110" s="4">
        <v>1361.69</v>
      </c>
      <c r="P110" s="4" t="s">
        <v>26</v>
      </c>
      <c r="Q110" s="4">
        <v>0</v>
      </c>
    </row>
  </sheetData>
  <mergeCells count="2">
    <mergeCell ref="E1:AB2"/>
    <mergeCell ref="S29:T29"/>
  </mergeCells>
  <dataValidations count="4">
    <dataValidation type="list" allowBlank="1" showInputMessage="1" showErrorMessage="1" sqref="W5">
      <formula1>$G$11:$G$110</formula1>
    </dataValidation>
    <dataValidation type="list" allowBlank="1" showInputMessage="1" showErrorMessage="1" sqref="W6 S57">
      <formula1>$E$11:$E$110</formula1>
    </dataValidation>
    <dataValidation type="list" allowBlank="1" showInputMessage="1" showErrorMessage="1" sqref="X19">
      <formula1>$W$11:$W$17</formula1>
    </dataValidation>
    <dataValidation type="list" allowBlank="1" showInputMessage="1" showErrorMessage="1" sqref="X20">
      <formula1>$X$10:$AA$10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DAY 5</vt:lpstr>
      <vt:lpstr>Sheet2</vt:lpstr>
      <vt:lpstr>Sheet3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2025-11-29T05:19:47Z</dcterms:created>
  <dcterms:modified xsi:type="dcterms:W3CDTF">2025-12-01T07:20:54Z</dcterms:modified>
</cp:coreProperties>
</file>