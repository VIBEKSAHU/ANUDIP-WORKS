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alesData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25" i="1" l="1"/>
  <c r="G25" i="1" l="1"/>
  <c r="F25" i="1"/>
  <c r="E25" i="1"/>
  <c r="D25" i="1"/>
  <c r="C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F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G21" i="1" s="1"/>
  <c r="F18" i="1"/>
  <c r="E18" i="1"/>
  <c r="E21" i="1" s="1"/>
  <c r="D18" i="1"/>
  <c r="D21" i="1" s="1"/>
  <c r="C18" i="1"/>
  <c r="C21" i="1" s="1"/>
  <c r="B18" i="1"/>
  <c r="M4" i="1"/>
  <c r="M5" i="1"/>
  <c r="M6" i="1"/>
  <c r="M7" i="1"/>
  <c r="M8" i="1"/>
  <c r="M3" i="1"/>
  <c r="L4" i="1"/>
  <c r="L5" i="1"/>
  <c r="L6" i="1"/>
  <c r="L7" i="1"/>
  <c r="L8" i="1"/>
  <c r="L3" i="1"/>
  <c r="K4" i="1"/>
  <c r="K5" i="1"/>
  <c r="K6" i="1"/>
  <c r="K7" i="1"/>
  <c r="K8" i="1"/>
  <c r="K3" i="1"/>
  <c r="J4" i="1"/>
  <c r="J5" i="1"/>
  <c r="J6" i="1"/>
  <c r="J7" i="1"/>
  <c r="J8" i="1"/>
  <c r="J3" i="1"/>
  <c r="H4" i="1"/>
  <c r="H5" i="1"/>
  <c r="H6" i="1"/>
  <c r="H7" i="1"/>
  <c r="H8" i="1"/>
  <c r="H3" i="1"/>
  <c r="I4" i="1"/>
  <c r="I5" i="1"/>
  <c r="I6" i="1"/>
  <c r="I7" i="1"/>
  <c r="I8" i="1"/>
  <c r="I3" i="1"/>
  <c r="G3" i="1"/>
  <c r="G4" i="1"/>
  <c r="G5" i="1"/>
  <c r="G6" i="1"/>
  <c r="G7" i="1"/>
  <c r="G8" i="1"/>
  <c r="F4" i="1"/>
  <c r="F5" i="1"/>
  <c r="F6" i="1"/>
  <c r="F7" i="1"/>
  <c r="F8" i="1"/>
  <c r="F3" i="1"/>
</calcChain>
</file>

<file path=xl/sharedStrings.xml><?xml version="1.0" encoding="utf-8"?>
<sst xmlns="http://schemas.openxmlformats.org/spreadsheetml/2006/main" count="51" uniqueCount="32">
  <si>
    <t>ASSIGNMENT 1 WORKSHEET:SalesData</t>
  </si>
  <si>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</si>
  <si>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</si>
  <si>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</si>
  <si>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</si>
  <si>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</si>
  <si>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</si>
  <si>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</si>
  <si>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</si>
  <si>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Sales</t>
  </si>
  <si>
    <t>Target</t>
  </si>
  <si>
    <t>Region</t>
  </si>
  <si>
    <t>North</t>
  </si>
  <si>
    <t>South</t>
  </si>
  <si>
    <t>East</t>
  </si>
  <si>
    <t>West</t>
  </si>
  <si>
    <t>Qno.1</t>
  </si>
  <si>
    <t>Qno.2</t>
  </si>
  <si>
    <t>Qno.3</t>
  </si>
  <si>
    <t>Qno.4</t>
  </si>
  <si>
    <t>Qno.5</t>
  </si>
  <si>
    <t>Qno.6</t>
  </si>
  <si>
    <t>Qno.7</t>
  </si>
  <si>
    <t>Qno.8</t>
  </si>
  <si>
    <t>Q.1</t>
  </si>
  <si>
    <t>Q2</t>
  </si>
  <si>
    <t>Q3</t>
  </si>
  <si>
    <t>Q4</t>
  </si>
  <si>
    <t>Q5</t>
  </si>
  <si>
    <t>Q6</t>
  </si>
  <si>
    <t>Q7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</si>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</sst>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rgb="FFFA7D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FA7D00"/>
      <name val="Calibri"/>
      <family val="2"/>
      <scheme val="minor"/>
    </font>
    <font>
      <b/>
      <u/>
      <sz val="2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wrapText="1"/>
    </xf>
    <xf numFmtId="0" fontId="3" fillId="2" borderId="1" xfId="1" applyFont="1" applyAlignment="1">
      <alignment horizontal="center"/>
    </xf>
    <xf numFmtId="0" fontId="4" fillId="2" borderId="1" xfId="1" applyFont="1" applyAlignment="1">
      <alignment horizontal="center"/>
    </xf>
    <xf numFmtId="0" fontId="5" fillId="2" borderId="1" xfId="1" applyFont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6" fillId="4" borderId="0" xfId="2" applyFont="1" applyFill="1" applyBorder="1" applyAlignment="1">
      <alignment horizontal="center"/>
    </xf>
  </cellXfs>
  <cellStyles count="3">
    <cellStyle name="Calculation" xfId="1" builtinId="22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25"/>
  <sheetViews>
    <sheetView tabSelected="1" topLeftCell="A5" zoomScale="85" zoomScaleNormal="85" workbookViewId="0">
      <selection activeCell="H17" sqref="H17"/>
    </sheetView>
  </sheetViews>
  <sheetFormatPr defaultRowHeight="14.4" x14ac:dyDescent="0.3"/>
  <cols>
    <col min="1" max="1" width="15.6640625" customWidth="1"/>
    <col min="2" max="2" width="29.88671875" customWidth="1"/>
    <col min="3" max="3" width="15.77734375" customWidth="1"/>
    <col min="4" max="4" width="20.88671875" customWidth="1"/>
    <col min="5" max="5" width="29.88671875" customWidth="1"/>
    <col min="6" max="6" width="20.88671875" customWidth="1"/>
    <col min="7" max="7" width="29.88671875" customWidth="1"/>
    <col min="8" max="8" width="7.33203125" customWidth="1"/>
    <col min="9" max="9" width="6.5546875" customWidth="1"/>
    <col min="10" max="10" width="34.21875" customWidth="1"/>
    <col min="11" max="11" width="14.44140625" customWidth="1"/>
    <col min="12" max="12" width="6.5546875" customWidth="1"/>
    <col min="13" max="13" width="23.21875" customWidth="1"/>
  </cols>
  <sheetData>
    <row r="1" spans="1:13" ht="36" customHeight="1" x14ac:dyDescent="0.5500000000000000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3.4" x14ac:dyDescent="0.45">
      <c r="A2" s="6" t="s">
        <v>1</v>
      </c>
      <c r="B2" s="6" t="s">
        <v>2</v>
      </c>
      <c r="C2" s="6" t="s">
        <v>9</v>
      </c>
      <c r="D2" s="6" t="s">
        <v>10</v>
      </c>
      <c r="E2" s="6" t="s">
        <v>11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</row>
    <row r="3" spans="1:13" ht="23.4" x14ac:dyDescent="0.45">
      <c r="A3" s="6">
        <v>101</v>
      </c>
      <c r="B3" s="6" t="s">
        <v>3</v>
      </c>
      <c r="C3" s="6">
        <v>120</v>
      </c>
      <c r="D3" s="6">
        <v>150</v>
      </c>
      <c r="E3" s="6" t="s">
        <v>12</v>
      </c>
      <c r="F3" s="6" t="str">
        <f>IF(C3 &gt;= D3, "Met Target", "Not Met")</f>
        <v>Not Met</v>
      </c>
      <c r="G3" s="6" t="str">
        <f>IF(AND(E3="North",C3&gt;200), "Eligible", "Not Eligible")</f>
        <v>Not Eligible</v>
      </c>
      <c r="H3" s="6" t="str">
        <f>IF(C3&gt;=200, "10%", IF(C3&gt;=150, "7%", "5%"))</f>
        <v>5%</v>
      </c>
      <c r="I3" s="6">
        <f>IF(F3="Met Target", C3*0.1, C3*0.05)</f>
        <v>6</v>
      </c>
      <c r="J3" s="6" t="str">
        <f>IF(C3&gt;=200, "EXCELLENT", IF(C3&gt;=150,"GOOD", "NEEDs IMPROVEMENT"))</f>
        <v>NEEDs IMPROVEMENT</v>
      </c>
      <c r="K3" s="6" t="str">
        <f>IF(C3&gt;200,"HIGH",IF(C3&gt;=100,"MEDIUM","LOW"))</f>
        <v>MEDIUM</v>
      </c>
      <c r="L3" s="6">
        <f>IF(AND(C3&gt;=150, E3="North"),500, 300)</f>
        <v>300</v>
      </c>
      <c r="M3" s="6" t="str">
        <f>IF(C3 &gt;= PERCENTILE($C$3:$C$8, 0.75), "High Performer", "Normal")</f>
        <v>Normal</v>
      </c>
    </row>
    <row r="4" spans="1:13" ht="23.4" x14ac:dyDescent="0.45">
      <c r="A4" s="6">
        <v>102</v>
      </c>
      <c r="B4" s="6" t="s">
        <v>4</v>
      </c>
      <c r="C4" s="6">
        <v>150</v>
      </c>
      <c r="D4" s="6">
        <v>140</v>
      </c>
      <c r="E4" s="6" t="s">
        <v>13</v>
      </c>
      <c r="F4" s="6" t="str">
        <f t="shared" ref="F4:F8" si="0">IF(C4 &gt;= D4, "Met Target", "Not Met")</f>
        <v>Met Target</v>
      </c>
      <c r="G4" s="6" t="str">
        <f t="shared" ref="G4:G8" si="1">IF(AND(E4="North",C4&gt;200), "Eligible", "Not Eligible")</f>
        <v>Not Eligible</v>
      </c>
      <c r="H4" s="6" t="str">
        <f t="shared" ref="H4:H8" si="2">IF(C4&gt;=200, "10%", IF(C4&gt;=150, "7%", "5%"))</f>
        <v>7%</v>
      </c>
      <c r="I4" s="6">
        <f t="shared" ref="I4:I8" si="3">IF(F4="Met Target", C4*0.1, C4*0.05)</f>
        <v>15</v>
      </c>
      <c r="J4" s="6" t="str">
        <f t="shared" ref="J4:J8" si="4">IF(C4&gt;=200, "EXCELLENT", IF(C4&gt;=150,"GOOD", "NEEDs IMPROVEMENT"))</f>
        <v>GOOD</v>
      </c>
      <c r="K4" s="6" t="str">
        <f t="shared" ref="K4:K8" si="5">IF(C4&gt;200,"HIGH",IF(C4&gt;=100,"MEDIUM","LOW"))</f>
        <v>MEDIUM</v>
      </c>
      <c r="L4" s="6">
        <f t="shared" ref="L4:L8" si="6">IF(AND(C4&gt;=150, E4="North"),500, 300)</f>
        <v>300</v>
      </c>
      <c r="M4" s="6" t="str">
        <f t="shared" ref="M4:M8" si="7">IF(C4 &gt;= PERCENTILE($C$3:$C$8, 0.75), "High Performer", "Normal")</f>
        <v>Normal</v>
      </c>
    </row>
    <row r="5" spans="1:13" ht="23.4" x14ac:dyDescent="0.45">
      <c r="A5" s="6">
        <v>103</v>
      </c>
      <c r="B5" s="6" t="s">
        <v>5</v>
      </c>
      <c r="C5" s="6">
        <v>200</v>
      </c>
      <c r="D5" s="6">
        <v>200</v>
      </c>
      <c r="E5" s="6" t="s">
        <v>14</v>
      </c>
      <c r="F5" s="6" t="str">
        <f t="shared" si="0"/>
        <v>Met Target</v>
      </c>
      <c r="G5" s="6" t="str">
        <f t="shared" si="1"/>
        <v>Not Eligible</v>
      </c>
      <c r="H5" s="6" t="str">
        <f t="shared" si="2"/>
        <v>10%</v>
      </c>
      <c r="I5" s="6">
        <f t="shared" si="3"/>
        <v>20</v>
      </c>
      <c r="J5" s="6" t="str">
        <f t="shared" si="4"/>
        <v>EXCELLENT</v>
      </c>
      <c r="K5" s="6" t="str">
        <f t="shared" si="5"/>
        <v>MEDIUM</v>
      </c>
      <c r="L5" s="6">
        <f t="shared" si="6"/>
        <v>300</v>
      </c>
      <c r="M5" s="6" t="str">
        <f t="shared" si="7"/>
        <v>High Performer</v>
      </c>
    </row>
    <row r="6" spans="1:13" ht="23.4" x14ac:dyDescent="0.45">
      <c r="A6" s="6">
        <v>104</v>
      </c>
      <c r="B6" s="6" t="s">
        <v>6</v>
      </c>
      <c r="C6" s="6">
        <v>90</v>
      </c>
      <c r="D6" s="6">
        <v>100</v>
      </c>
      <c r="E6" s="6" t="s">
        <v>15</v>
      </c>
      <c r="F6" s="6" t="str">
        <f t="shared" si="0"/>
        <v>Not Met</v>
      </c>
      <c r="G6" s="6" t="str">
        <f t="shared" si="1"/>
        <v>Not Eligible</v>
      </c>
      <c r="H6" s="6" t="str">
        <f t="shared" si="2"/>
        <v>5%</v>
      </c>
      <c r="I6" s="6">
        <f t="shared" si="3"/>
        <v>4.5</v>
      </c>
      <c r="J6" s="6" t="str">
        <f t="shared" si="4"/>
        <v>NEEDs IMPROVEMENT</v>
      </c>
      <c r="K6" s="6" t="str">
        <f t="shared" si="5"/>
        <v>LOW</v>
      </c>
      <c r="L6" s="6">
        <f t="shared" si="6"/>
        <v>300</v>
      </c>
      <c r="M6" s="6" t="str">
        <f t="shared" si="7"/>
        <v>Normal</v>
      </c>
    </row>
    <row r="7" spans="1:13" ht="23.4" x14ac:dyDescent="0.45">
      <c r="A7" s="6">
        <v>105</v>
      </c>
      <c r="B7" s="6" t="s">
        <v>7</v>
      </c>
      <c r="C7" s="6">
        <v>220</v>
      </c>
      <c r="D7" s="6">
        <v>210</v>
      </c>
      <c r="E7" s="6" t="s">
        <v>12</v>
      </c>
      <c r="F7" s="6" t="str">
        <f t="shared" si="0"/>
        <v>Met Target</v>
      </c>
      <c r="G7" s="6" t="str">
        <f t="shared" si="1"/>
        <v>Eligible</v>
      </c>
      <c r="H7" s="6" t="str">
        <f t="shared" si="2"/>
        <v>10%</v>
      </c>
      <c r="I7" s="6">
        <f t="shared" si="3"/>
        <v>22</v>
      </c>
      <c r="J7" s="6" t="str">
        <f t="shared" si="4"/>
        <v>EXCELLENT</v>
      </c>
      <c r="K7" s="6" t="str">
        <f t="shared" si="5"/>
        <v>HIGH</v>
      </c>
      <c r="L7" s="6">
        <f t="shared" si="6"/>
        <v>500</v>
      </c>
      <c r="M7" s="6" t="str">
        <f t="shared" si="7"/>
        <v>High Performer</v>
      </c>
    </row>
    <row r="8" spans="1:13" ht="23.4" x14ac:dyDescent="0.45">
      <c r="A8" s="6">
        <v>106</v>
      </c>
      <c r="B8" s="6" t="s">
        <v>8</v>
      </c>
      <c r="C8" s="6">
        <v>130</v>
      </c>
      <c r="D8" s="6">
        <v>160</v>
      </c>
      <c r="E8" s="6" t="s">
        <v>13</v>
      </c>
      <c r="F8" s="6" t="str">
        <f t="shared" si="0"/>
        <v>Not Met</v>
      </c>
      <c r="G8" s="6" t="str">
        <f t="shared" si="1"/>
        <v>Not Eligible</v>
      </c>
      <c r="H8" s="6" t="str">
        <f t="shared" si="2"/>
        <v>5%</v>
      </c>
      <c r="I8" s="6">
        <f t="shared" si="3"/>
        <v>6.5</v>
      </c>
      <c r="J8" s="6" t="str">
        <f t="shared" si="4"/>
        <v>NEEDs IMPROVEMENT</v>
      </c>
      <c r="K8" s="6" t="str">
        <f t="shared" si="5"/>
        <v>MEDIUM</v>
      </c>
      <c r="L8" s="6">
        <f t="shared" si="6"/>
        <v>300</v>
      </c>
      <c r="M8" s="6" t="str">
        <f t="shared" si="7"/>
        <v>Normal</v>
      </c>
    </row>
    <row r="9" spans="1:13" x14ac:dyDescent="0.3">
      <c r="F9" s="1"/>
      <c r="G9" s="3"/>
      <c r="H9" s="1"/>
      <c r="I9" s="1"/>
      <c r="J9" s="1"/>
      <c r="K9" s="1"/>
      <c r="L9" s="1"/>
      <c r="M9" s="1"/>
    </row>
    <row r="10" spans="1:13" x14ac:dyDescent="0.3">
      <c r="F10" s="2"/>
    </row>
    <row r="13" spans="1:13" ht="23.4" x14ac:dyDescent="0.45">
      <c r="A13" s="5" t="s">
        <v>1</v>
      </c>
      <c r="B13" s="4">
        <v>101</v>
      </c>
      <c r="C13" s="4">
        <v>102</v>
      </c>
      <c r="D13" s="4">
        <v>103</v>
      </c>
      <c r="E13" s="4">
        <v>104</v>
      </c>
      <c r="F13" s="4">
        <v>105</v>
      </c>
      <c r="G13" s="4">
        <v>106</v>
      </c>
    </row>
    <row r="14" spans="1:13" ht="23.4" x14ac:dyDescent="0.45">
      <c r="A14" s="5" t="s">
        <v>2</v>
      </c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  <c r="G14" s="4" t="s">
        <v>8</v>
      </c>
    </row>
    <row r="15" spans="1:13" ht="23.4" x14ac:dyDescent="0.45">
      <c r="A15" s="5" t="s">
        <v>9</v>
      </c>
      <c r="B15" s="4">
        <v>120</v>
      </c>
      <c r="C15" s="4">
        <v>150</v>
      </c>
      <c r="D15" s="4">
        <v>200</v>
      </c>
      <c r="E15" s="4">
        <v>90</v>
      </c>
      <c r="F15" s="4">
        <v>220</v>
      </c>
      <c r="G15" s="4">
        <v>130</v>
      </c>
    </row>
    <row r="16" spans="1:13" ht="23.4" x14ac:dyDescent="0.45">
      <c r="A16" s="5" t="s">
        <v>10</v>
      </c>
      <c r="B16" s="4">
        <v>150</v>
      </c>
      <c r="C16" s="4">
        <v>140</v>
      </c>
      <c r="D16" s="4">
        <v>200</v>
      </c>
      <c r="E16" s="4">
        <v>100</v>
      </c>
      <c r="F16" s="4">
        <v>210</v>
      </c>
      <c r="G16" s="4">
        <v>160</v>
      </c>
    </row>
    <row r="17" spans="1:7" ht="23.4" x14ac:dyDescent="0.45">
      <c r="A17" s="5" t="s">
        <v>11</v>
      </c>
      <c r="B17" s="4" t="s">
        <v>12</v>
      </c>
      <c r="C17" s="4" t="s">
        <v>13</v>
      </c>
      <c r="D17" s="4" t="s">
        <v>14</v>
      </c>
      <c r="E17" s="4" t="s">
        <v>15</v>
      </c>
      <c r="F17" s="4" t="s">
        <v>12</v>
      </c>
      <c r="G17" s="4" t="s">
        <v>13</v>
      </c>
    </row>
    <row r="18" spans="1:7" ht="23.4" x14ac:dyDescent="0.45">
      <c r="A18" s="5" t="s">
        <v>16</v>
      </c>
      <c r="B18" s="4" t="str">
        <f t="shared" ref="B18:G18" si="8">IF(B15 &gt;= B16, "Met Target", "Not Met")</f>
        <v>Not Met</v>
      </c>
      <c r="C18" s="4" t="str">
        <f t="shared" si="8"/>
        <v>Met Target</v>
      </c>
      <c r="D18" s="4" t="str">
        <f t="shared" si="8"/>
        <v>Met Target</v>
      </c>
      <c r="E18" s="4" t="str">
        <f t="shared" si="8"/>
        <v>Not Met</v>
      </c>
      <c r="F18" s="4" t="str">
        <f t="shared" si="8"/>
        <v>Met Target</v>
      </c>
      <c r="G18" s="4" t="str">
        <f t="shared" si="8"/>
        <v>Not Met</v>
      </c>
    </row>
    <row r="19" spans="1:7" ht="23.4" x14ac:dyDescent="0.45">
      <c r="A19" s="5" t="s">
        <v>17</v>
      </c>
      <c r="B19" s="4" t="str">
        <f t="shared" ref="B19:G19" si="9">IF(AND(B17="North",B15&gt;200), "Eligible", "Not Eligible")</f>
        <v>Not Eligible</v>
      </c>
      <c r="C19" s="4" t="str">
        <f t="shared" si="9"/>
        <v>Not Eligible</v>
      </c>
      <c r="D19" s="4" t="str">
        <f t="shared" si="9"/>
        <v>Not Eligible</v>
      </c>
      <c r="E19" s="4" t="str">
        <f t="shared" si="9"/>
        <v>Not Eligible</v>
      </c>
      <c r="F19" s="4" t="str">
        <f t="shared" si="9"/>
        <v>Eligible</v>
      </c>
      <c r="G19" s="4" t="str">
        <f t="shared" si="9"/>
        <v>Not Eligible</v>
      </c>
    </row>
    <row r="20" spans="1:7" ht="23.4" x14ac:dyDescent="0.45">
      <c r="A20" s="5" t="s">
        <v>18</v>
      </c>
      <c r="B20" s="4" t="str">
        <f t="shared" ref="B20:G20" si="10">IF(B15&gt;=200, "10%", IF(B15&gt;=150, "7%", "5%"))</f>
        <v>5%</v>
      </c>
      <c r="C20" s="4" t="str">
        <f t="shared" si="10"/>
        <v>7%</v>
      </c>
      <c r="D20" s="4" t="str">
        <f t="shared" si="10"/>
        <v>10%</v>
      </c>
      <c r="E20" s="4" t="str">
        <f t="shared" si="10"/>
        <v>5%</v>
      </c>
      <c r="F20" s="4" t="str">
        <f t="shared" si="10"/>
        <v>10%</v>
      </c>
      <c r="G20" s="4" t="str">
        <f t="shared" si="10"/>
        <v>5%</v>
      </c>
    </row>
    <row r="21" spans="1:7" ht="23.4" x14ac:dyDescent="0.45">
      <c r="A21" s="5" t="s">
        <v>19</v>
      </c>
      <c r="B21" s="4">
        <f t="shared" ref="B21:G21" si="11">IF(B18="Met Target", B15*0.1, B15*0.05)</f>
        <v>6</v>
      </c>
      <c r="C21" s="4">
        <f t="shared" si="11"/>
        <v>15</v>
      </c>
      <c r="D21" s="4">
        <f t="shared" si="11"/>
        <v>20</v>
      </c>
      <c r="E21" s="4">
        <f t="shared" si="11"/>
        <v>4.5</v>
      </c>
      <c r="F21" s="4">
        <f t="shared" si="11"/>
        <v>22</v>
      </c>
      <c r="G21" s="4">
        <f t="shared" si="11"/>
        <v>6.5</v>
      </c>
    </row>
    <row r="22" spans="1:7" ht="23.4" x14ac:dyDescent="0.45">
      <c r="A22" s="5" t="s">
        <v>20</v>
      </c>
      <c r="B22" s="4" t="str">
        <f t="shared" ref="B22:G22" si="12">IF(B15&gt;=200, "EXCELLENT", IF(B15&gt;=150,"GOOD", "NEEDs IMPROVEMENT"))</f>
        <v>NEEDs IMPROVEMENT</v>
      </c>
      <c r="C22" s="4" t="str">
        <f t="shared" si="12"/>
        <v>GOOD</v>
      </c>
      <c r="D22" s="4" t="str">
        <f t="shared" si="12"/>
        <v>EXCELLENT</v>
      </c>
      <c r="E22" s="4" t="str">
        <f t="shared" si="12"/>
        <v>NEEDs IMPROVEMENT</v>
      </c>
      <c r="F22" s="4" t="str">
        <f t="shared" si="12"/>
        <v>EXCELLENT</v>
      </c>
      <c r="G22" s="4" t="str">
        <f t="shared" si="12"/>
        <v>NEEDs IMPROVEMENT</v>
      </c>
    </row>
    <row r="23" spans="1:7" ht="23.4" x14ac:dyDescent="0.45">
      <c r="A23" s="5" t="s">
        <v>21</v>
      </c>
      <c r="B23" s="4" t="str">
        <f t="shared" ref="B23:G23" si="13">IF(B15&gt;200,"HIGH",IF(B15&gt;=100,"MEDIUM","LOW"))</f>
        <v>MEDIUM</v>
      </c>
      <c r="C23" s="4" t="str">
        <f t="shared" si="13"/>
        <v>MEDIUM</v>
      </c>
      <c r="D23" s="4" t="str">
        <f t="shared" si="13"/>
        <v>MEDIUM</v>
      </c>
      <c r="E23" s="4" t="str">
        <f t="shared" si="13"/>
        <v>LOW</v>
      </c>
      <c r="F23" s="4" t="str">
        <f t="shared" si="13"/>
        <v>HIGH</v>
      </c>
      <c r="G23" s="4" t="str">
        <f t="shared" si="13"/>
        <v>MEDIUM</v>
      </c>
    </row>
    <row r="24" spans="1:7" ht="23.4" x14ac:dyDescent="0.45">
      <c r="A24" s="5" t="s">
        <v>22</v>
      </c>
      <c r="B24" s="4">
        <f t="shared" ref="B24:G24" si="14">IF(AND(B15&gt;=150, B17="North"),500, 300)</f>
        <v>300</v>
      </c>
      <c r="C24" s="4">
        <f t="shared" si="14"/>
        <v>300</v>
      </c>
      <c r="D24" s="4">
        <f t="shared" si="14"/>
        <v>300</v>
      </c>
      <c r="E24" s="4">
        <f t="shared" si="14"/>
        <v>300</v>
      </c>
      <c r="F24" s="4">
        <f t="shared" si="14"/>
        <v>500</v>
      </c>
      <c r="G24" s="4">
        <f t="shared" si="14"/>
        <v>300</v>
      </c>
    </row>
    <row r="25" spans="1:7" ht="23.4" x14ac:dyDescent="0.45">
      <c r="A25" s="5" t="s">
        <v>23</v>
      </c>
      <c r="B25" s="4" t="str">
        <f>IF(B15 &gt;= PERCENTILE($B$15:$G$15, 0.75), "High Performer", "Normal")</f>
        <v>Normal</v>
      </c>
      <c r="C25" s="4" t="str">
        <f t="shared" ref="C25:G25" si="15">IF(C15 &gt;= PERCENTILE($B$15:$G$15, 0.75), "High Performer", "Normal")</f>
        <v>Normal</v>
      </c>
      <c r="D25" s="4" t="str">
        <f t="shared" si="15"/>
        <v>High Performer</v>
      </c>
      <c r="E25" s="4" t="str">
        <f t="shared" si="15"/>
        <v>Normal</v>
      </c>
      <c r="F25" s="4" t="str">
        <f t="shared" si="15"/>
        <v>High Performer</v>
      </c>
      <c r="G25" s="4" t="str">
        <f t="shared" si="15"/>
        <v>Normal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2025-11-23T13:35:10Z</dcterms:created>
  <dcterms:modified xsi:type="dcterms:W3CDTF">2025-12-04T16:56:45Z</dcterms:modified>
</cp:coreProperties>
</file>