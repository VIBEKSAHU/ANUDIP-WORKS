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Products" sheetId="1" r:id="rId1"/>
    <sheet name="Order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0" i="1"/>
  <c r="G10" i="1" l="1"/>
  <c r="H11" i="2"/>
  <c r="H12" i="2"/>
  <c r="H13" i="2"/>
  <c r="H14" i="2"/>
  <c r="H15" i="2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0" i="2"/>
  <c r="K10" i="2" s="1"/>
  <c r="G11" i="1"/>
  <c r="G12" i="1"/>
  <c r="G13" i="1"/>
  <c r="G14" i="1"/>
  <c r="G15" i="1"/>
  <c r="G16" i="1"/>
  <c r="G17" i="1"/>
  <c r="H10" i="2"/>
  <c r="I11" i="2"/>
  <c r="I12" i="2"/>
  <c r="I13" i="2"/>
  <c r="I14" i="2"/>
  <c r="I15" i="2"/>
  <c r="I10" i="2"/>
  <c r="L10" i="2" l="1"/>
  <c r="H18" i="2"/>
</calcChain>
</file>

<file path=xl/sharedStrings.xml><?xml version="1.0" encoding="utf-8"?>
<sst xmlns="http://schemas.openxmlformats.org/spreadsheetml/2006/main" count="31" uniqueCount="30">
  <si>
    <t>ProductID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</si>
  <si>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</si>
  <si>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</si>
  <si>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</si>
  <si>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</si>
  <si>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</si>
  <si>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</si>
  <si>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</si>
  <si>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</si>
  <si>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</si>
  <si>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ORDERS</t>
  </si>
  <si>
    <t>Product Name</t>
  </si>
  <si>
    <t>Product name</t>
  </si>
  <si>
    <t>Product G</t>
  </si>
  <si>
    <t xml:space="preserve">Product H  </t>
  </si>
  <si>
    <t>Order Value</t>
  </si>
  <si>
    <t>MAXorder value</t>
  </si>
  <si>
    <t>Discounted amount</t>
  </si>
  <si>
    <t>Discounted price</t>
  </si>
  <si>
    <t>Total Amount</t>
  </si>
  <si>
    <t>Found!</t>
  </si>
  <si>
    <t>Ordered!</t>
  </si>
  <si>
    <t>ASSIGNMENT 2(VLOOKUP)</t>
  </si>
  <si>
    <t>PRODUCTS SHEET</t>
  </si>
  <si>
    <t>Qno.1</t>
  </si>
  <si>
    <t>Qno.4</t>
  </si>
  <si>
    <t>Qno.2</t>
  </si>
  <si>
    <t>Qno.5</t>
  </si>
  <si>
    <t>Qno.3</t>
  </si>
  <si>
    <t>Qno.6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</si>
</sst>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3" fillId="1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5" borderId="1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0" fillId="0" borderId="18" xfId="0" applyBorder="1"/>
    <xf numFmtId="0" fontId="0" fillId="0" borderId="1" xfId="0" applyBorder="1"/>
    <xf numFmtId="0" fontId="2" fillId="3" borderId="16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18" borderId="9" xfId="0" applyFont="1" applyFill="1" applyBorder="1" applyAlignment="1">
      <alignment horizontal="center"/>
    </xf>
    <xf numFmtId="0" fontId="1" fillId="18" borderId="9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" fillId="17" borderId="12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7" borderId="10" xfId="0" applyFont="1" applyFill="1" applyBorder="1"/>
    <xf numFmtId="0" fontId="1" fillId="7" borderId="10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8" borderId="21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20"/>
  <sheetViews>
    <sheetView tabSelected="1" topLeftCell="B1" zoomScale="70" zoomScaleNormal="70" workbookViewId="0">
      <selection activeCell="G19" sqref="G19"/>
    </sheetView>
  </sheetViews>
  <sheetFormatPr defaultRowHeight="14.4" x14ac:dyDescent="0.3"/>
  <cols>
    <col min="1" max="1" width="17" bestFit="1" customWidth="1"/>
    <col min="2" max="2" width="22.33203125" bestFit="1" customWidth="1"/>
    <col min="3" max="3" width="9.109375" bestFit="1" customWidth="1"/>
    <col min="4" max="4" width="15.21875" customWidth="1"/>
    <col min="5" max="5" width="21.33203125" customWidth="1"/>
    <col min="6" max="6" width="8.109375" customWidth="1"/>
    <col min="7" max="7" width="18.21875" bestFit="1" customWidth="1"/>
    <col min="8" max="8" width="19.33203125" bestFit="1" customWidth="1"/>
  </cols>
  <sheetData>
    <row r="4" spans="4:8" ht="15" thickBot="1" x14ac:dyDescent="0.35"/>
    <row r="5" spans="4:8" x14ac:dyDescent="0.3">
      <c r="D5" s="50" t="s">
        <v>22</v>
      </c>
      <c r="E5" s="51"/>
      <c r="F5" s="51"/>
      <c r="G5" s="51"/>
      <c r="H5" s="52"/>
    </row>
    <row r="6" spans="4:8" ht="15" thickBot="1" x14ac:dyDescent="0.35">
      <c r="D6" s="53"/>
      <c r="E6" s="54"/>
      <c r="F6" s="54"/>
      <c r="G6" s="54"/>
      <c r="H6" s="55"/>
    </row>
    <row r="7" spans="4:8" ht="23.4" x14ac:dyDescent="0.45">
      <c r="D7" s="44" t="s">
        <v>23</v>
      </c>
      <c r="E7" s="45"/>
      <c r="F7" s="45"/>
      <c r="G7" s="45"/>
      <c r="H7" s="46"/>
    </row>
    <row r="8" spans="4:8" ht="23.4" x14ac:dyDescent="0.45">
      <c r="D8" s="26"/>
      <c r="E8" s="27"/>
      <c r="F8" s="27"/>
      <c r="G8" s="27" t="s">
        <v>28</v>
      </c>
      <c r="H8" s="28" t="s">
        <v>29</v>
      </c>
    </row>
    <row r="9" spans="4:8" ht="23.4" x14ac:dyDescent="0.45">
      <c r="D9" s="29" t="s">
        <v>0</v>
      </c>
      <c r="E9" s="32" t="s">
        <v>11</v>
      </c>
      <c r="F9" s="35" t="s">
        <v>1</v>
      </c>
      <c r="G9" s="38" t="s">
        <v>20</v>
      </c>
      <c r="H9" s="41" t="s">
        <v>21</v>
      </c>
    </row>
    <row r="10" spans="4:8" ht="23.4" x14ac:dyDescent="0.45">
      <c r="D10" s="30">
        <v>101</v>
      </c>
      <c r="E10" s="33" t="s">
        <v>2</v>
      </c>
      <c r="F10" s="36">
        <v>120</v>
      </c>
      <c r="G10" s="39" t="str">
        <f>IF(ISNA(VLOOKUP(Orders!F10,Products!$D$9:$F$17,1,0)), "NOT FOUND","FOUND")</f>
        <v>FOUND</v>
      </c>
      <c r="H10" s="42" t="str">
        <f>IF(ISNA(VLOOKUP(Orders!F10,Products!$D$9:$G$17,1,0))," Not Ordered","Ordered")</f>
        <v>Ordered</v>
      </c>
    </row>
    <row r="11" spans="4:8" ht="23.4" x14ac:dyDescent="0.45">
      <c r="D11" s="30">
        <v>102</v>
      </c>
      <c r="E11" s="33" t="s">
        <v>3</v>
      </c>
      <c r="F11" s="36">
        <v>150</v>
      </c>
      <c r="G11" s="39" t="str">
        <f>IF(ISNA(VLOOKUP(Orders!F11,Products!$D$9:$F$17,1,0)), "NOT FOUND","FOUND")</f>
        <v>FOUND</v>
      </c>
      <c r="H11" s="42" t="str">
        <f>IF(ISNA(VLOOKUP(Orders!F11,Products!$D$9:$G$17,1,0))," Not Ordered","Ordered")</f>
        <v>Ordered</v>
      </c>
    </row>
    <row r="12" spans="4:8" ht="23.4" x14ac:dyDescent="0.45">
      <c r="D12" s="30">
        <v>103</v>
      </c>
      <c r="E12" s="33" t="s">
        <v>4</v>
      </c>
      <c r="F12" s="36">
        <v>200</v>
      </c>
      <c r="G12" s="39" t="str">
        <f>IF(ISNA(VLOOKUP(Orders!F12,Products!$D$9:$F$17,1,0)), "NOT FOUND","FOUND")</f>
        <v>FOUND</v>
      </c>
      <c r="H12" s="42" t="str">
        <f>IF(ISNA(VLOOKUP(Orders!F12,Products!$D$9:$G$17,1,0))," Not Ordered","Ordered")</f>
        <v>Ordered</v>
      </c>
    </row>
    <row r="13" spans="4:8" ht="23.4" x14ac:dyDescent="0.45">
      <c r="D13" s="30">
        <v>104</v>
      </c>
      <c r="E13" s="33" t="s">
        <v>5</v>
      </c>
      <c r="F13" s="36">
        <v>90</v>
      </c>
      <c r="G13" s="39" t="str">
        <f>IF(ISNA(VLOOKUP(Orders!F13,Products!$D$9:$F$17,1,0)), "NOT FOUND","FOUND")</f>
        <v>FOUND</v>
      </c>
      <c r="H13" s="42" t="str">
        <f>IF(ISNA(VLOOKUP(Orders!F13,Products!$D$9:$G$17,1,0))," Not Ordered","Ordered")</f>
        <v>Ordered</v>
      </c>
    </row>
    <row r="14" spans="4:8" ht="23.4" x14ac:dyDescent="0.45">
      <c r="D14" s="30">
        <v>105</v>
      </c>
      <c r="E14" s="33" t="s">
        <v>6</v>
      </c>
      <c r="F14" s="36">
        <v>220</v>
      </c>
      <c r="G14" s="39" t="str">
        <f>IF(ISNA(VLOOKUP(Orders!F14,Products!$D$9:$F$17,1,0)), "NOT FOUND","FOUND")</f>
        <v>FOUND</v>
      </c>
      <c r="H14" s="42" t="str">
        <f>IF(ISNA(VLOOKUP(Orders!F14,Products!$D$9:$G$17,1,0))," Not Ordered","Ordered")</f>
        <v>Ordered</v>
      </c>
    </row>
    <row r="15" spans="4:8" ht="23.4" x14ac:dyDescent="0.45">
      <c r="D15" s="30">
        <v>106</v>
      </c>
      <c r="E15" s="33" t="s">
        <v>7</v>
      </c>
      <c r="F15" s="36">
        <v>130</v>
      </c>
      <c r="G15" s="39" t="str">
        <f>IF(ISNA(VLOOKUP(Orders!F15,Products!$D$9:$F$17,1,0)), "NOT FOUND","FOUND")</f>
        <v>FOUND</v>
      </c>
      <c r="H15" s="42" t="str">
        <f>IF(ISNA(VLOOKUP(Orders!F15,Products!$D$9:$G$17,1,0))," Not Ordered","Ordered")</f>
        <v>Ordered</v>
      </c>
    </row>
    <row r="16" spans="4:8" ht="23.4" x14ac:dyDescent="0.45">
      <c r="D16" s="30">
        <v>107</v>
      </c>
      <c r="E16" s="33" t="s">
        <v>13</v>
      </c>
      <c r="F16" s="36">
        <v>500</v>
      </c>
      <c r="G16" s="39" t="str">
        <f>IF(ISNA(VLOOKUP(Orders!F16,Products!$D$9:$F$17,1,0)), "NOT FOUND","FOUND")</f>
        <v>NOT FOUND</v>
      </c>
      <c r="H16" s="42" t="str">
        <f>IF(ISNA(VLOOKUP(Orders!F16,Products!$D$9:$G$17,1,0))," Not Ordered","Ordered")</f>
        <v xml:space="preserve"> Not Ordered</v>
      </c>
    </row>
    <row r="17" spans="3:11" ht="24" thickBot="1" x14ac:dyDescent="0.5">
      <c r="C17" s="5"/>
      <c r="D17" s="31">
        <v>108</v>
      </c>
      <c r="E17" s="34" t="s">
        <v>14</v>
      </c>
      <c r="F17" s="37">
        <v>700</v>
      </c>
      <c r="G17" s="40" t="str">
        <f>IF(ISNA(VLOOKUP(Orders!F17,Products!$D$9:$F$17,1,0)), "NOT FOUND","FOUND")</f>
        <v>NOT FOUND</v>
      </c>
      <c r="H17" s="43" t="str">
        <f>IF(ISNA(VLOOKUP(Orders!F17,Products!$D$9:$G$17,1,0))," Not Ordered","Ordered")</f>
        <v xml:space="preserve"> Not Ordered</v>
      </c>
      <c r="I17" s="5"/>
      <c r="J17" s="5"/>
      <c r="K17" s="5"/>
    </row>
    <row r="18" spans="3:11" ht="23.4" x14ac:dyDescent="0.45">
      <c r="C18" s="5"/>
      <c r="D18" s="6"/>
      <c r="E18" s="5"/>
      <c r="F18" s="5"/>
      <c r="G18" s="5"/>
      <c r="H18" s="7"/>
      <c r="I18" s="5"/>
      <c r="J18" s="5"/>
      <c r="K18" s="5"/>
    </row>
    <row r="19" spans="3:11" ht="23.4" x14ac:dyDescent="0.45">
      <c r="C19" s="5"/>
      <c r="D19" s="6"/>
      <c r="E19" s="5"/>
      <c r="F19" s="5"/>
      <c r="G19" s="5"/>
      <c r="H19" s="7"/>
      <c r="I19" s="5"/>
      <c r="J19" s="5"/>
      <c r="K19" s="5"/>
    </row>
    <row r="20" spans="3:11" x14ac:dyDescent="0.3">
      <c r="D20" s="5"/>
      <c r="E20" s="5"/>
      <c r="F20" s="5"/>
      <c r="G20" s="5"/>
      <c r="H20" s="5"/>
    </row>
  </sheetData>
  <mergeCells count="2">
    <mergeCell ref="D7:H7"/>
    <mergeCell ref="D5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L19"/>
  <sheetViews>
    <sheetView topLeftCell="F5" zoomScale="70" zoomScaleNormal="70" workbookViewId="0">
      <selection activeCell="H39" sqref="H39"/>
    </sheetView>
  </sheetViews>
  <sheetFormatPr defaultRowHeight="14.4" x14ac:dyDescent="0.3"/>
  <cols>
    <col min="1" max="1" width="13.33203125" bestFit="1" customWidth="1"/>
    <col min="2" max="2" width="16.33203125" bestFit="1" customWidth="1"/>
    <col min="3" max="3" width="14.5546875" bestFit="1" customWidth="1"/>
    <col min="4" max="4" width="16.5546875" bestFit="1" customWidth="1"/>
    <col min="5" max="5" width="15.21875" bestFit="1" customWidth="1"/>
    <col min="6" max="6" width="18.88671875" bestFit="1" customWidth="1"/>
    <col min="7" max="7" width="16.88671875" bestFit="1" customWidth="1"/>
    <col min="8" max="8" width="29.77734375" customWidth="1"/>
    <col min="9" max="9" width="26" bestFit="1" customWidth="1"/>
    <col min="10" max="10" width="35.6640625" bestFit="1" customWidth="1"/>
    <col min="11" max="11" width="30.44140625" bestFit="1" customWidth="1"/>
    <col min="12" max="12" width="24.5546875" bestFit="1" customWidth="1"/>
  </cols>
  <sheetData>
    <row r="6" spans="5:12" ht="15" thickBot="1" x14ac:dyDescent="0.35"/>
    <row r="7" spans="5:12" ht="34.799999999999997" thickTop="1" thickBot="1" x14ac:dyDescent="0.7">
      <c r="E7" s="47" t="s">
        <v>10</v>
      </c>
      <c r="F7" s="48"/>
      <c r="G7" s="48"/>
      <c r="H7" s="48"/>
      <c r="I7" s="48"/>
      <c r="J7" s="48"/>
      <c r="K7" s="48"/>
      <c r="L7" s="49"/>
    </row>
    <row r="8" spans="5:12" ht="30" thickTop="1" thickBot="1" x14ac:dyDescent="0.6">
      <c r="E8" s="2"/>
      <c r="F8" s="3"/>
      <c r="G8" s="3"/>
      <c r="H8" s="3" t="s">
        <v>26</v>
      </c>
      <c r="I8" s="3" t="s">
        <v>24</v>
      </c>
      <c r="J8" s="3" t="s">
        <v>25</v>
      </c>
      <c r="K8" s="3"/>
      <c r="L8" s="4"/>
    </row>
    <row r="9" spans="5:12" ht="30" thickTop="1" thickBot="1" x14ac:dyDescent="0.6">
      <c r="E9" s="16" t="s">
        <v>8</v>
      </c>
      <c r="F9" s="16" t="s">
        <v>0</v>
      </c>
      <c r="G9" s="16" t="s">
        <v>9</v>
      </c>
      <c r="H9" s="16" t="s">
        <v>15</v>
      </c>
      <c r="I9" s="16" t="s">
        <v>12</v>
      </c>
      <c r="J9" s="16" t="s">
        <v>17</v>
      </c>
      <c r="K9" s="16" t="s">
        <v>18</v>
      </c>
      <c r="L9" s="16" t="s">
        <v>19</v>
      </c>
    </row>
    <row r="10" spans="5:12" ht="30" thickTop="1" thickBot="1" x14ac:dyDescent="0.6">
      <c r="E10" s="8">
        <v>1</v>
      </c>
      <c r="F10" s="9">
        <v>101</v>
      </c>
      <c r="G10" s="10">
        <v>2</v>
      </c>
      <c r="H10" s="11">
        <f>G10*VLOOKUP(F10,Products!$D$9:$F$15,3,0)</f>
        <v>240</v>
      </c>
      <c r="I10" s="12" t="str">
        <f>VLOOKUP(F10,Products!$D$9:$F$15,2,0)</f>
        <v>Product A</v>
      </c>
      <c r="J10" s="13">
        <f>VLOOKUP(F10,Products!$D$9:$F$17,3,0)*0.1</f>
        <v>12</v>
      </c>
      <c r="K10" s="14">
        <f>VLOOKUP(F10,Products!$D$9:$F$17,3,0) -Orders!J10</f>
        <v>108</v>
      </c>
      <c r="L10" s="15">
        <f>K10*G10</f>
        <v>216</v>
      </c>
    </row>
    <row r="11" spans="5:12" ht="30" thickTop="1" thickBot="1" x14ac:dyDescent="0.6">
      <c r="E11" s="8">
        <v>2</v>
      </c>
      <c r="F11" s="9">
        <v>103</v>
      </c>
      <c r="G11" s="10">
        <v>1</v>
      </c>
      <c r="H11" s="11">
        <f>G11*VLOOKUP(F11,Products!$D$9:$F$15,3,0)</f>
        <v>200</v>
      </c>
      <c r="I11" s="12" t="str">
        <f>VLOOKUP(F11,Products!$D$9:$F$15,2,0)</f>
        <v>Product C</v>
      </c>
      <c r="J11" s="13">
        <f>VLOOKUP(F11,Products!$D$9:$F$17,3,0)*0.1</f>
        <v>20</v>
      </c>
      <c r="K11" s="14">
        <f>VLOOKUP(F11,Products!$D$9:$F$17,3,0) -Orders!J11</f>
        <v>180</v>
      </c>
      <c r="L11" s="15">
        <f t="shared" ref="L11:L15" si="0">K11*G11</f>
        <v>180</v>
      </c>
    </row>
    <row r="12" spans="5:12" ht="30" thickTop="1" thickBot="1" x14ac:dyDescent="0.6">
      <c r="E12" s="8">
        <v>3</v>
      </c>
      <c r="F12" s="9">
        <v>105</v>
      </c>
      <c r="G12" s="10">
        <v>4</v>
      </c>
      <c r="H12" s="11">
        <f>G12*VLOOKUP(F12,Products!$D$9:$F$15,3,0)</f>
        <v>880</v>
      </c>
      <c r="I12" s="12" t="str">
        <f>VLOOKUP(F12,Products!$D$9:$F$15,2,0)</f>
        <v>Product E</v>
      </c>
      <c r="J12" s="13">
        <f>VLOOKUP(F12,Products!$D$9:$F$17,3,0)*0.1</f>
        <v>22</v>
      </c>
      <c r="K12" s="14">
        <f>VLOOKUP(F12,Products!$D$9:$F$17,3,0) -Orders!J12</f>
        <v>198</v>
      </c>
      <c r="L12" s="15">
        <f t="shared" si="0"/>
        <v>792</v>
      </c>
    </row>
    <row r="13" spans="5:12" ht="30" thickTop="1" thickBot="1" x14ac:dyDescent="0.6">
      <c r="E13" s="8">
        <v>4</v>
      </c>
      <c r="F13" s="9">
        <v>106</v>
      </c>
      <c r="G13" s="10">
        <v>3</v>
      </c>
      <c r="H13" s="11">
        <f>G13*VLOOKUP(F13,Products!$D$9:$F$15,3,0)</f>
        <v>390</v>
      </c>
      <c r="I13" s="12" t="str">
        <f>VLOOKUP(F13,Products!$D$9:$F$15,2,0)</f>
        <v>Product F</v>
      </c>
      <c r="J13" s="13">
        <f>VLOOKUP(F13,Products!$D$9:$F$17,3,0)*0.1</f>
        <v>13</v>
      </c>
      <c r="K13" s="14">
        <f>VLOOKUP(F13,Products!$D$9:$F$17,3,0) -Orders!J13</f>
        <v>117</v>
      </c>
      <c r="L13" s="15">
        <f t="shared" si="0"/>
        <v>351</v>
      </c>
    </row>
    <row r="14" spans="5:12" ht="30" thickTop="1" thickBot="1" x14ac:dyDescent="0.6">
      <c r="E14" s="8">
        <v>5</v>
      </c>
      <c r="F14" s="9">
        <v>102</v>
      </c>
      <c r="G14" s="10">
        <v>5</v>
      </c>
      <c r="H14" s="11">
        <f>G14*VLOOKUP(F14,Products!$D$9:$F$15,3,0)</f>
        <v>750</v>
      </c>
      <c r="I14" s="12" t="str">
        <f>VLOOKUP(F14,Products!$D$9:$F$15,2,0)</f>
        <v>Product B</v>
      </c>
      <c r="J14" s="13">
        <f>VLOOKUP(F14,Products!$D$9:$F$17,3,0)*0.1</f>
        <v>15</v>
      </c>
      <c r="K14" s="14">
        <f>VLOOKUP(F14,Products!$D$9:$F$17,3,0) -Orders!J14</f>
        <v>135</v>
      </c>
      <c r="L14" s="15">
        <f t="shared" si="0"/>
        <v>675</v>
      </c>
    </row>
    <row r="15" spans="5:12" ht="30" thickTop="1" thickBot="1" x14ac:dyDescent="0.6">
      <c r="E15" s="8">
        <v>6</v>
      </c>
      <c r="F15" s="9">
        <v>104</v>
      </c>
      <c r="G15" s="10">
        <v>6</v>
      </c>
      <c r="H15" s="21">
        <f>G15*VLOOKUP(F15,Products!$D$9:$F$15,3,0)</f>
        <v>540</v>
      </c>
      <c r="I15" s="22" t="str">
        <f>VLOOKUP(F15,Products!$D$9:$F$15,2,0)</f>
        <v>Product D</v>
      </c>
      <c r="J15" s="13">
        <f>VLOOKUP(F15,Products!$D$9:$F$17,3,0)*0.1</f>
        <v>9</v>
      </c>
      <c r="K15" s="14">
        <f>VLOOKUP(F15,Products!$D$9:$F$17,3,0) -Orders!J15</f>
        <v>81</v>
      </c>
      <c r="L15" s="15">
        <f t="shared" si="0"/>
        <v>486</v>
      </c>
    </row>
    <row r="16" spans="5:12" ht="30" thickTop="1" thickBot="1" x14ac:dyDescent="0.6">
      <c r="E16" s="1"/>
      <c r="F16" s="1"/>
      <c r="G16" s="19"/>
      <c r="H16" s="18" t="s">
        <v>27</v>
      </c>
      <c r="I16" s="1"/>
      <c r="J16" s="1"/>
      <c r="K16" s="1"/>
      <c r="L16" s="1"/>
    </row>
    <row r="17" spans="5:12" ht="30" thickTop="1" thickBot="1" x14ac:dyDescent="0.6">
      <c r="E17" s="1"/>
      <c r="F17" s="1"/>
      <c r="G17" s="19"/>
      <c r="H17" s="17" t="s">
        <v>16</v>
      </c>
      <c r="I17" s="1"/>
      <c r="J17" s="20"/>
      <c r="K17" s="1"/>
      <c r="L17" s="1"/>
    </row>
    <row r="18" spans="5:12" ht="30" thickTop="1" thickBot="1" x14ac:dyDescent="0.6">
      <c r="H18" s="23">
        <f>MAX(H10:H15)</f>
        <v>880</v>
      </c>
      <c r="I18" s="25"/>
    </row>
    <row r="19" spans="5:12" ht="15" thickTop="1" x14ac:dyDescent="0.3">
      <c r="H19" s="24"/>
    </row>
  </sheetData>
  <mergeCells count="1">
    <mergeCell ref="E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2025-11-26T05:20:03Z</dcterms:created>
  <dcterms:modified xsi:type="dcterms:W3CDTF">2025-11-28T04:39:48Z</dcterms:modified>
</cp:coreProperties>
</file>